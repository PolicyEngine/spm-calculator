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updateLinks="never" codeName="ThisWorkbook" defaultThemeVersion="124226"/>
  <mc:AlternateContent xmlns:mc="http://schemas.openxmlformats.org/markup-compatibility/2006">
    <mc:Choice Requires="x15">
      <x15ac:absPath xmlns:x15ac="http://schemas.microsoft.com/office/spreadsheetml/2010/11/ac" url="M:\ADC-IPHS\SPM\SPM Report\2024 ASEC\Tables\"/>
    </mc:Choice>
  </mc:AlternateContent>
  <xr:revisionPtr revIDLastSave="0" documentId="13_ncr:1_{62A2C4EC-86FE-4240-A667-A58AB8C21D6A}" xr6:coauthVersionLast="47" xr6:coauthVersionMax="47" xr10:uidLastSave="{00000000-0000-0000-0000-000000000000}"/>
  <bookViews>
    <workbookView xWindow="345" yWindow="555" windowWidth="22200" windowHeight="13140" xr2:uid="{00000000-000D-0000-FFFF-FFFF00000000}"/>
  </bookViews>
  <sheets>
    <sheet name="Main" sheetId="2" r:id="rId1"/>
    <sheet name="Matrix" sheetId="4" r:id="rId2"/>
    <sheet name="Thresholds 2023" sheetId="13" r:id="rId3"/>
  </sheets>
  <definedNames>
    <definedName name="_AMO_UniqueIdentifier" hidden="1">"'f333918f-d1e9-45ae-b406-c07ba8b869f5'"</definedName>
    <definedName name="Geograph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4" i="13" l="1"/>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311" i="13"/>
  <c r="D312" i="13"/>
  <c r="D313" i="13"/>
  <c r="D314" i="13"/>
  <c r="D315" i="13"/>
  <c r="D316" i="13"/>
  <c r="D317" i="13"/>
  <c r="D318" i="13"/>
  <c r="D319" i="13"/>
  <c r="D320" i="13"/>
  <c r="D321" i="13"/>
  <c r="D322" i="13"/>
  <c r="D323" i="13"/>
  <c r="D324" i="13"/>
  <c r="D325" i="13"/>
  <c r="D326" i="13"/>
  <c r="D327" i="13"/>
  <c r="D328" i="13"/>
  <c r="D329" i="13"/>
  <c r="D330" i="13"/>
  <c r="D331" i="13"/>
  <c r="D332" i="13"/>
  <c r="D333" i="13"/>
  <c r="D334" i="13"/>
  <c r="D335" i="13"/>
  <c r="D336" i="13"/>
  <c r="D337" i="13"/>
  <c r="D338" i="13"/>
  <c r="D339" i="13"/>
  <c r="D340" i="13"/>
  <c r="D341" i="13"/>
  <c r="D342" i="13"/>
  <c r="D343" i="13"/>
  <c r="E3" i="13"/>
  <c r="D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 i="13"/>
  <c r="F7" i="2" l="1"/>
  <c r="E7" i="2"/>
  <c r="D7" i="2"/>
  <c r="A2" i="4" l="1"/>
  <c r="C8" i="2"/>
  <c r="B4" i="2"/>
  <c r="D4" i="2" s="1"/>
  <c r="A7" i="2" s="1"/>
  <c r="C4" i="2" l="1"/>
  <c r="D8" i="2"/>
  <c r="E20" i="4" s="1"/>
  <c r="C16" i="4" s="1"/>
  <c r="F8" i="2"/>
  <c r="E70" i="4" s="1"/>
  <c r="E8" i="2"/>
  <c r="E45" i="4" s="1"/>
  <c r="G2" i="4"/>
  <c r="H26" i="4" l="1"/>
  <c r="C12" i="4"/>
  <c r="C23" i="4"/>
  <c r="C20" i="4"/>
  <c r="G76" i="4"/>
  <c r="G73" i="4"/>
  <c r="C74" i="4"/>
  <c r="F73" i="4"/>
  <c r="E73" i="4"/>
  <c r="D73" i="4"/>
  <c r="K76" i="4"/>
  <c r="D72" i="4"/>
  <c r="D74" i="4"/>
  <c r="F72" i="4"/>
  <c r="C69" i="4"/>
  <c r="F71" i="4"/>
  <c r="E71" i="4"/>
  <c r="H73" i="4"/>
  <c r="G72" i="4"/>
  <c r="J76" i="4"/>
  <c r="I76" i="4"/>
  <c r="C63" i="4"/>
  <c r="E74" i="4"/>
  <c r="C70" i="4"/>
  <c r="C73" i="4"/>
  <c r="E76" i="4"/>
  <c r="H74" i="4"/>
  <c r="G74" i="4"/>
  <c r="H76" i="4"/>
  <c r="D71" i="4"/>
  <c r="I74" i="4"/>
  <c r="H23" i="4"/>
  <c r="E24" i="4"/>
  <c r="E26" i="4"/>
  <c r="C22" i="4"/>
  <c r="D24" i="4"/>
  <c r="E21" i="4"/>
  <c r="F23" i="4"/>
  <c r="C13" i="4"/>
  <c r="H48" i="4"/>
  <c r="C41" i="4"/>
  <c r="D46" i="4"/>
  <c r="G49" i="4"/>
  <c r="F48" i="4"/>
  <c r="C72" i="4"/>
  <c r="D70" i="4"/>
  <c r="C66" i="4"/>
  <c r="F76" i="4"/>
  <c r="E72" i="4"/>
  <c r="C67" i="4"/>
  <c r="C21" i="4"/>
  <c r="C71" i="4"/>
  <c r="D69" i="4"/>
  <c r="D76" i="4"/>
  <c r="D67" i="4" s="1"/>
  <c r="F74" i="4"/>
  <c r="C62" i="4"/>
  <c r="F51" i="4"/>
  <c r="F47" i="4"/>
  <c r="I51" i="4"/>
  <c r="I49" i="4"/>
  <c r="C45" i="4"/>
  <c r="F21" i="4"/>
  <c r="D20" i="4"/>
  <c r="C17" i="4"/>
  <c r="G26" i="4"/>
  <c r="H24" i="4"/>
  <c r="D22" i="4"/>
  <c r="C19" i="4"/>
  <c r="G24" i="4"/>
  <c r="C24" i="4"/>
  <c r="D21" i="4"/>
  <c r="D19" i="4"/>
  <c r="J26" i="4"/>
  <c r="I24" i="4"/>
  <c r="E22" i="4"/>
  <c r="K26" i="4"/>
  <c r="F26" i="4"/>
  <c r="D26" i="4"/>
  <c r="D16" i="4" s="1"/>
  <c r="G23" i="4"/>
  <c r="G22" i="4"/>
  <c r="I26" i="4"/>
  <c r="D23" i="4"/>
  <c r="E48" i="4"/>
  <c r="H51" i="4"/>
  <c r="G51" i="4"/>
  <c r="D49" i="4"/>
  <c r="G48" i="4"/>
  <c r="C47" i="4"/>
  <c r="F46" i="4"/>
  <c r="D45" i="4"/>
  <c r="C37" i="4"/>
  <c r="D51" i="4"/>
  <c r="D42" i="4" s="1"/>
  <c r="E46" i="4"/>
  <c r="C48" i="4"/>
  <c r="C46" i="4"/>
  <c r="D44" i="4"/>
  <c r="K51" i="4"/>
  <c r="H49" i="4"/>
  <c r="C42" i="4"/>
  <c r="C49" i="4"/>
  <c r="E47" i="4"/>
  <c r="E23" i="4"/>
  <c r="F24" i="4"/>
  <c r="C38" i="4"/>
  <c r="D48" i="4"/>
  <c r="E49" i="4"/>
  <c r="G47" i="4"/>
  <c r="D47" i="4"/>
  <c r="C44" i="4"/>
  <c r="J51" i="4"/>
  <c r="F49" i="4"/>
  <c r="E51" i="4"/>
  <c r="F22" i="4"/>
  <c r="D66" i="4" l="1"/>
  <c r="D41" i="4"/>
  <c r="D17" i="4"/>
</calcChain>
</file>

<file path=xl/sharedStrings.xml><?xml version="1.0" encoding="utf-8"?>
<sst xmlns="http://schemas.openxmlformats.org/spreadsheetml/2006/main" count="453" uniqueCount="392">
  <si>
    <t>Index based on Median Rents</t>
  </si>
  <si>
    <t>Homeowners with Mortgage</t>
  </si>
  <si>
    <t>Homeowners without a Mortgage</t>
  </si>
  <si>
    <t>Renters</t>
  </si>
  <si>
    <t>Owner with Mortgage</t>
  </si>
  <si>
    <t>Owner without a Mortgage</t>
  </si>
  <si>
    <t>Renter</t>
  </si>
  <si>
    <t>National</t>
  </si>
  <si>
    <t>Code</t>
  </si>
  <si>
    <t>Index</t>
  </si>
  <si>
    <t>Look up the code for a specific metro area - select from drop down box</t>
  </si>
  <si>
    <t>Owners with a mortgage</t>
  </si>
  <si>
    <t xml:space="preserve">  Eight</t>
  </si>
  <si>
    <t xml:space="preserve">  None</t>
  </si>
  <si>
    <t xml:space="preserve">   One</t>
  </si>
  <si>
    <t xml:space="preserve">   Two</t>
  </si>
  <si>
    <t xml:space="preserve">  Three</t>
  </si>
  <si>
    <t xml:space="preserve">  Four</t>
  </si>
  <si>
    <t xml:space="preserve">  Five</t>
  </si>
  <si>
    <t xml:space="preserve">  Six</t>
  </si>
  <si>
    <t xml:space="preserve">  Seven</t>
  </si>
  <si>
    <t>Two or more Adults</t>
  </si>
  <si>
    <t>One Adult with Child/Children</t>
  </si>
  <si>
    <t>Single Parent</t>
  </si>
  <si>
    <t xml:space="preserve"> </t>
  </si>
  <si>
    <t>Source:  U.S. Census Bureau.</t>
  </si>
  <si>
    <t>Owners without a mortgage</t>
  </si>
  <si>
    <t>Index Value</t>
  </si>
  <si>
    <t>Children under 18 years</t>
  </si>
  <si>
    <t>Size of Family Unit</t>
  </si>
  <si>
    <t>Number of People In Unit</t>
  </si>
  <si>
    <t xml:space="preserve">Table with row headers in column A and column headers in rows 3 through 5. </t>
  </si>
  <si>
    <t>One person (unrelated individual)</t>
  </si>
  <si>
    <t>Two people</t>
  </si>
  <si>
    <t>Three people</t>
  </si>
  <si>
    <t>Four people</t>
  </si>
  <si>
    <t>Five people</t>
  </si>
  <si>
    <t>Six people</t>
  </si>
  <si>
    <t>Seven people</t>
  </si>
  <si>
    <t>Eight people</t>
  </si>
  <si>
    <r>
      <t xml:space="preserve">  </t>
    </r>
    <r>
      <rPr>
        <sz val="10"/>
        <color indexed="9"/>
        <rFont val="Arial"/>
        <family val="2"/>
      </rPr>
      <t>.</t>
    </r>
    <r>
      <rPr>
        <sz val="10"/>
        <rFont val="Arial"/>
        <family val="2"/>
      </rPr>
      <t>Under 65 years</t>
    </r>
  </si>
  <si>
    <r>
      <t xml:space="preserve">  </t>
    </r>
    <r>
      <rPr>
        <sz val="10"/>
        <color indexed="9"/>
        <rFont val="Arial"/>
        <family val="2"/>
      </rPr>
      <t>.</t>
    </r>
    <r>
      <rPr>
        <sz val="10"/>
        <rFont val="Arial"/>
        <family val="2"/>
      </rPr>
      <t>65 years and over</t>
    </r>
  </si>
  <si>
    <r>
      <t xml:space="preserve">  </t>
    </r>
    <r>
      <rPr>
        <sz val="10"/>
        <color indexed="9"/>
        <rFont val="Arial"/>
        <family val="2"/>
      </rPr>
      <t>.</t>
    </r>
    <r>
      <rPr>
        <sz val="10"/>
        <rFont val="Arial"/>
        <family val="2"/>
      </rPr>
      <t>Householder under 65 years</t>
    </r>
  </si>
  <si>
    <r>
      <t xml:space="preserve">  </t>
    </r>
    <r>
      <rPr>
        <sz val="10"/>
        <color indexed="9"/>
        <rFont val="Arial"/>
        <family val="2"/>
      </rPr>
      <t>.</t>
    </r>
    <r>
      <rPr>
        <sz val="10"/>
        <rFont val="Arial"/>
        <family val="2"/>
      </rPr>
      <t>Householder 65 years and over</t>
    </r>
  </si>
  <si>
    <t>Table with row headers in column A and column headers in rows 5 through 9, 30 through 34, 55 through 59. (leading dots indicate subparts)</t>
  </si>
  <si>
    <t>Alabama Nonmetro</t>
  </si>
  <si>
    <t>Alaska Metro</t>
  </si>
  <si>
    <t>Alaska Nonmetro</t>
  </si>
  <si>
    <t>Arizona Metro</t>
  </si>
  <si>
    <t>Arizona Nonmetro</t>
  </si>
  <si>
    <t>Arkansas Metro</t>
  </si>
  <si>
    <t>Arkansas Nonmetro</t>
  </si>
  <si>
    <t>California Nonmetro</t>
  </si>
  <si>
    <t>Colorado Nonmetro</t>
  </si>
  <si>
    <t>Connecticut Nonmetro</t>
  </si>
  <si>
    <t>Abilene, TX MSA</t>
  </si>
  <si>
    <t>Akron, OH MSA</t>
  </si>
  <si>
    <t>Albany-Schenectady-Troy, NY MSA</t>
  </si>
  <si>
    <t>Albuquerque, NM MSA</t>
  </si>
  <si>
    <t>Allentown-Bethlehem-Easton, PA-NJ MSA</t>
  </si>
  <si>
    <t>Amarillo, TX MSA</t>
  </si>
  <si>
    <t>Ann Arbor, MI MSA</t>
  </si>
  <si>
    <t>Appleton, WI MSA</t>
  </si>
  <si>
    <t>Asheville, NC MSA</t>
  </si>
  <si>
    <t>Florida Metro</t>
  </si>
  <si>
    <t>Florida Nonmetro</t>
  </si>
  <si>
    <t>Athens-Clarke County, GA MSA</t>
  </si>
  <si>
    <t>Atlanta-Sandy Springs-Roswell, GA MSA</t>
  </si>
  <si>
    <t>Atlantic City-Hammonton, NJ MSA</t>
  </si>
  <si>
    <t>Auburn-Opelika, AL MSA</t>
  </si>
  <si>
    <t>Augusta-Richmond County, GA-SC MSA</t>
  </si>
  <si>
    <t>Austin-Round Rock, TX MSA</t>
  </si>
  <si>
    <t>Bakersfield, CA MSA</t>
  </si>
  <si>
    <t>Baltimore-Columbia-Towson, MD MSA</t>
  </si>
  <si>
    <t>Bangor, ME MSA</t>
  </si>
  <si>
    <t>Barnstable Town, MA MSA</t>
  </si>
  <si>
    <t>Baton Rouge, LA MSA</t>
  </si>
  <si>
    <t>Battle Creek, MI MSA</t>
  </si>
  <si>
    <t>Georgia Metro</t>
  </si>
  <si>
    <t>Georgia Nonmetro</t>
  </si>
  <si>
    <t>Beaumont-Port Arthur, TX MSA</t>
  </si>
  <si>
    <t>Bend-Redmond, OR MSA</t>
  </si>
  <si>
    <t>Billings, MT MSA</t>
  </si>
  <si>
    <t>Binghamton, NY MSA</t>
  </si>
  <si>
    <t>Birmingham-Hoover, AL MSA</t>
  </si>
  <si>
    <t>Blacksburg-Christiansburg-Radford, VA MSA</t>
  </si>
  <si>
    <t>Bloomington, IL MSA</t>
  </si>
  <si>
    <t>Bloomington, IN MSA</t>
  </si>
  <si>
    <t>Boise City, ID MSA</t>
  </si>
  <si>
    <t>Boston-Cambridge-Newton, MA-NH MSA</t>
  </si>
  <si>
    <t>Boulder, CO MSA</t>
  </si>
  <si>
    <t>Bowling Green, KY MSA</t>
  </si>
  <si>
    <t>Bridgeport-Stamford-Norwalk, CT MSA</t>
  </si>
  <si>
    <t>Hawaii Nonmetro</t>
  </si>
  <si>
    <t>Brownsville-Harlingen, TX MSA</t>
  </si>
  <si>
    <t>Buffalo-Cheektowaga-Niagara Falls, NY MSA</t>
  </si>
  <si>
    <t>Burlington, NC MSA</t>
  </si>
  <si>
    <t>Burlington-South Burlington, VT MSA</t>
  </si>
  <si>
    <t>California-Lexington Park, MD MSA</t>
  </si>
  <si>
    <t>Canton-Massillon, OH MSA</t>
  </si>
  <si>
    <t>Cape Coral-Fort Myers, FL MSA</t>
  </si>
  <si>
    <t>Idaho Metro</t>
  </si>
  <si>
    <t>Idaho Nonmetro</t>
  </si>
  <si>
    <t>Carbondale-Marion, IL MSA</t>
  </si>
  <si>
    <t>Cedar Rapids, IA MSA</t>
  </si>
  <si>
    <t>Chambersburg-Waynesboro, PA MSA</t>
  </si>
  <si>
    <t>Champaign-Urbana, IL MSA</t>
  </si>
  <si>
    <t>Charleston, WV MSA</t>
  </si>
  <si>
    <t>Charleston-North Charleston, SC MSA</t>
  </si>
  <si>
    <t>Charlotte-Concord-Gastonia, NC-SC MSA</t>
  </si>
  <si>
    <t>Charlottesville, VA MSA</t>
  </si>
  <si>
    <t>Chattanooga, TN-GA MSA</t>
  </si>
  <si>
    <t>Chicago-Naperville-Elgin, IL-IN-WI MSA</t>
  </si>
  <si>
    <t>Illinois Metro</t>
  </si>
  <si>
    <t>Illinois Nonmetro</t>
  </si>
  <si>
    <t>Chico, CA MSA</t>
  </si>
  <si>
    <t>Cincinnati, OH-KY-IN MSA</t>
  </si>
  <si>
    <t>Clarksville, TN-KY MSA</t>
  </si>
  <si>
    <t>Cleveland, TN MSA</t>
  </si>
  <si>
    <t>Cleveland-Elyria, OH MSA</t>
  </si>
  <si>
    <t>Coeur d'Alene, ID MSA</t>
  </si>
  <si>
    <t>College Station-Bryan, TX MSA</t>
  </si>
  <si>
    <t>Colorado Springs, CO MSA</t>
  </si>
  <si>
    <t>Columbia, SC MSA</t>
  </si>
  <si>
    <t>Columbus, GA-AL MSA</t>
  </si>
  <si>
    <t>Indiana Metro</t>
  </si>
  <si>
    <t>Indiana Nonmetro</t>
  </si>
  <si>
    <t>Columbus, OH MSA</t>
  </si>
  <si>
    <t>Corpus Christi, TX MSA</t>
  </si>
  <si>
    <t>Iowa Metro</t>
  </si>
  <si>
    <t>Iowa Nonmetro</t>
  </si>
  <si>
    <t>Dallas-Fort Worth-Arlington, TX MSA</t>
  </si>
  <si>
    <t>Daphne-Fairhope-Foley, AL MSA</t>
  </si>
  <si>
    <t>Davenport-Moline-Rock Island, IA-IL MSA</t>
  </si>
  <si>
    <t>Dayton, OH MSA</t>
  </si>
  <si>
    <t>Deltona-Daytona Beach-Ormond Beach, FL MSA</t>
  </si>
  <si>
    <t>Denver-Aurora-Lakewood, CO MSA</t>
  </si>
  <si>
    <t>Des Moines-West Des Moines, IA MSA</t>
  </si>
  <si>
    <t>Detroit-Warren-Dearborn, MI MSA</t>
  </si>
  <si>
    <t>Kansas Metro</t>
  </si>
  <si>
    <t>Kansas Nonmetro</t>
  </si>
  <si>
    <t>Dover, DE MSA</t>
  </si>
  <si>
    <t>Durham-Chapel Hill, NC MSA</t>
  </si>
  <si>
    <t>East Stroudsburg, PA MSA</t>
  </si>
  <si>
    <t>Kentucky Metro</t>
  </si>
  <si>
    <t>Kentucky Nonmetro</t>
  </si>
  <si>
    <t>Elkhart-Goshen, IN MSA</t>
  </si>
  <si>
    <t>El Paso, TX MSA</t>
  </si>
  <si>
    <t>Erie, PA MSA</t>
  </si>
  <si>
    <t>Eugene, OR MSA</t>
  </si>
  <si>
    <t>Evansville, IN-KY MSA</t>
  </si>
  <si>
    <t>Louisiana Metro</t>
  </si>
  <si>
    <t>Louisiana Nonmetro</t>
  </si>
  <si>
    <t>Fargo, ND-MN MSA</t>
  </si>
  <si>
    <t>Farmington, NM MSA</t>
  </si>
  <si>
    <t>Fayetteville, NC MSA</t>
  </si>
  <si>
    <t>Fayetteville-Springdale-Rogers, AR-MO MSA</t>
  </si>
  <si>
    <t>Flint, MI MSA</t>
  </si>
  <si>
    <t>Florence, SC MSA</t>
  </si>
  <si>
    <t>Florence-Muscle Shoals, AL MSA</t>
  </si>
  <si>
    <t>Fort Collins, CO MSA</t>
  </si>
  <si>
    <t>Fort Smith, AR-OK MSA</t>
  </si>
  <si>
    <t>Maine Nonmetro</t>
  </si>
  <si>
    <t>Fort Wayne, IN MSA</t>
  </si>
  <si>
    <t>Fresno, CA MSA</t>
  </si>
  <si>
    <t>Gainesville, FL MSA</t>
  </si>
  <si>
    <t>Gainesville, GA MSA</t>
  </si>
  <si>
    <t>Maryland Nonmetro</t>
  </si>
  <si>
    <t>Glens Falls, NY MSA</t>
  </si>
  <si>
    <t>Goldsboro, NC MSA</t>
  </si>
  <si>
    <t>Grand Rapids-Wyoming, MI MSA</t>
  </si>
  <si>
    <t>Greeley, CO MSA</t>
  </si>
  <si>
    <t>Green Bay, WI MSA</t>
  </si>
  <si>
    <t>Greensboro-High Point, NC MSA</t>
  </si>
  <si>
    <t>Greenville, NC MSA</t>
  </si>
  <si>
    <t>Greenville-Anderson-Mauldin, SC MSA</t>
  </si>
  <si>
    <t>Massachusetts Metro</t>
  </si>
  <si>
    <t>Massachusetts Nonmetro</t>
  </si>
  <si>
    <t>Hagerstown-Martinsburg, MD-WV MSA</t>
  </si>
  <si>
    <t>Hanford-Corcoran, CA MSA</t>
  </si>
  <si>
    <t>Harrisburg-Carlisle, PA MSA</t>
  </si>
  <si>
    <t>Hartford-West Hartford-East Hartford, CT MSA</t>
  </si>
  <si>
    <t>Hickory-Lenoir-Morganton, NC MSA</t>
  </si>
  <si>
    <t>Hilton Head Island-Bluffton-Beaufort, SC MSA</t>
  </si>
  <si>
    <t>Michigan Metro</t>
  </si>
  <si>
    <t>Michigan Nonmetro</t>
  </si>
  <si>
    <t>Houston-The Woodlands-Sugar Land, TX MSA</t>
  </si>
  <si>
    <t>Huntington-Ashland, WV-KY-OH MSA</t>
  </si>
  <si>
    <t>Huntsville, AL MSA</t>
  </si>
  <si>
    <t>Idaho Falls, ID MSA</t>
  </si>
  <si>
    <t>Indianapolis-Carmel-Anderson, IN MSA</t>
  </si>
  <si>
    <t>Iowa City, IA MSA</t>
  </si>
  <si>
    <t>Minnesota Metro</t>
  </si>
  <si>
    <t>Minnesota Nonmetro</t>
  </si>
  <si>
    <t>Jackson, MI MSA</t>
  </si>
  <si>
    <t>Jackson, MS MSA</t>
  </si>
  <si>
    <t>Jacksonville, FL MSA</t>
  </si>
  <si>
    <t>Jacksonville, NC MSA</t>
  </si>
  <si>
    <t>Janesville-Beloit, WI MSA</t>
  </si>
  <si>
    <t>Johnson City, TN MSA</t>
  </si>
  <si>
    <t>Johnstown, PA MSA</t>
  </si>
  <si>
    <t>Kahului-Wailuku-Lahaina, HI MSA</t>
  </si>
  <si>
    <t>Mississippi Metro</t>
  </si>
  <si>
    <t>Mississippi Nonmetro</t>
  </si>
  <si>
    <t>Kalamazoo-Portage, MI MSA</t>
  </si>
  <si>
    <t>Kansas City, MO-KS MSA</t>
  </si>
  <si>
    <t>Kennewick-Richland, WA MSA</t>
  </si>
  <si>
    <t>Killeen-Temple, TX MSA</t>
  </si>
  <si>
    <t>Kingsport-Bristol-Bristol, TN-VA MSA</t>
  </si>
  <si>
    <t>Knoxville, TN MSA</t>
  </si>
  <si>
    <t>Missouri Metro</t>
  </si>
  <si>
    <t>Missouri Nonmetro</t>
  </si>
  <si>
    <t>Lafayette, LA MSA</t>
  </si>
  <si>
    <t>Lafayette-West Lafayette, IN MSA</t>
  </si>
  <si>
    <t>Lake Charles, LA MSA</t>
  </si>
  <si>
    <t>Lakeland-Winter Haven, FL MSA</t>
  </si>
  <si>
    <t>Lancaster, PA MSA</t>
  </si>
  <si>
    <t>Lansing-East Lansing, MI MSA</t>
  </si>
  <si>
    <t>Laredo, TX MSA</t>
  </si>
  <si>
    <t>Las Cruces, NM MSA</t>
  </si>
  <si>
    <t>Las Vegas-Henderson-Paradise, NV MSA</t>
  </si>
  <si>
    <t>Montana Metro</t>
  </si>
  <si>
    <t>Montana Nonmetro</t>
  </si>
  <si>
    <t>Lewiston-Auburn, ME MSA</t>
  </si>
  <si>
    <t>Lexington-Fayette, KY MSA</t>
  </si>
  <si>
    <t>Little Rock-North Little Rock-Conway, AR MSA</t>
  </si>
  <si>
    <t>Longview, TX MSA</t>
  </si>
  <si>
    <t>Nebraska Metro</t>
  </si>
  <si>
    <t>Nebraska Nonmetro</t>
  </si>
  <si>
    <t>Los Angeles-Long Beach-Anaheim, CA MSA</t>
  </si>
  <si>
    <t>Louisville/Jefferson County, KY-IN MSA</t>
  </si>
  <si>
    <t>Lubbock, TX MSA</t>
  </si>
  <si>
    <t>Macon, GA MSA</t>
  </si>
  <si>
    <t>Madison, WI MSA</t>
  </si>
  <si>
    <t>Manchester-Nashua, NH MSA</t>
  </si>
  <si>
    <t>Nevada Metro</t>
  </si>
  <si>
    <t>Nevada Nonmetro</t>
  </si>
  <si>
    <t>McAllen-Edinburg-Mission, TX MSA</t>
  </si>
  <si>
    <t>Medford, OR MSA</t>
  </si>
  <si>
    <t>Memphis, TN-MS-AR MSA</t>
  </si>
  <si>
    <t>New Hampshire Nonmetro</t>
  </si>
  <si>
    <t>Miami-Fort Lauderdale-West Palm Beach, FL MSA</t>
  </si>
  <si>
    <t>Milwaukee-Waukesha-West Allis, WI MSA</t>
  </si>
  <si>
    <t>Minneapolis-St. Paul-Bloomington, MN-WI MSA</t>
  </si>
  <si>
    <t>Mobile, AL MSA</t>
  </si>
  <si>
    <t>Modesto, CA MSA</t>
  </si>
  <si>
    <t>Monroe, LA MSA</t>
  </si>
  <si>
    <t>Monroe, MI MSA</t>
  </si>
  <si>
    <t>Montgomery, AL MSA</t>
  </si>
  <si>
    <t>Morgantown, WV MSA</t>
  </si>
  <si>
    <t>Mount Vernon-Anacortes, WA MSA</t>
  </si>
  <si>
    <t>Muskegon, MI MSA</t>
  </si>
  <si>
    <t>Myrtle Beach-Conway-North Myrtle Beach, SC-NC MSA</t>
  </si>
  <si>
    <t>Naples-Immokalee-Marco Island, FL MSA</t>
  </si>
  <si>
    <t>Nashville-Davidson--Murfreesboro--Franklin, TN MSA</t>
  </si>
  <si>
    <t>New Mexico Nonmetro</t>
  </si>
  <si>
    <t>New Haven-Milford, CT MSA</t>
  </si>
  <si>
    <t>New Orleans-Metairie, LA MSA</t>
  </si>
  <si>
    <t>New York-Newark-Jersey City, NY-NJ-PA MSA</t>
  </si>
  <si>
    <t>Niles-Benton Harbor, MI MSA</t>
  </si>
  <si>
    <t>North Port-Sarasota-Bradenton, FL MSA</t>
  </si>
  <si>
    <t>Norwich-New London, CT MSA</t>
  </si>
  <si>
    <t>New York Nonmetro</t>
  </si>
  <si>
    <t>Ocala, FL MSA</t>
  </si>
  <si>
    <t>Odessa, TX MSA</t>
  </si>
  <si>
    <t>Ogden-Clearfield, UT MSA</t>
  </si>
  <si>
    <t>Oklahoma City, OK MSA</t>
  </si>
  <si>
    <t>Omaha-Council Bluffs, NE-IA MSA</t>
  </si>
  <si>
    <t>Orlando-Kissimmee-Sanford, FL MSA</t>
  </si>
  <si>
    <t>Oshkosh-Neenah, WI MSA</t>
  </si>
  <si>
    <t>North Carolina Metro</t>
  </si>
  <si>
    <t>North Carolina Nonmetro</t>
  </si>
  <si>
    <t>Oxnard-Thousand Oaks-Ventura, CA MSA</t>
  </si>
  <si>
    <t>Palm Bay-Melbourne-Titusville, FL MSA</t>
  </si>
  <si>
    <t>Panama City, FL MSA</t>
  </si>
  <si>
    <t>Pensacola-Ferry Pass-Brent, FL MSA</t>
  </si>
  <si>
    <t>Peoria, IL MSA</t>
  </si>
  <si>
    <t>Philadelphia-Camden-Wilmington, PA-NJ-DE-MD MSA</t>
  </si>
  <si>
    <t>North Dakota Metro</t>
  </si>
  <si>
    <t>North Dakota Nonmetro</t>
  </si>
  <si>
    <t>Phoenix-Mesa-Scottsdale, AZ MSA</t>
  </si>
  <si>
    <t>Pine Bluff, AR MSA</t>
  </si>
  <si>
    <t>Pittsburgh, PA MSA</t>
  </si>
  <si>
    <t>Portland-South Portland, ME MSA</t>
  </si>
  <si>
    <t>Portland-Vancouver-Hillsboro, OR-WA MSA</t>
  </si>
  <si>
    <t>Port St. Lucie, FL MSA</t>
  </si>
  <si>
    <t>Ohio Metro</t>
  </si>
  <si>
    <t>Ohio Nonmetro</t>
  </si>
  <si>
    <t>Prescott, AZ MSA</t>
  </si>
  <si>
    <t>Providence-Warwick, RI-MA MSA</t>
  </si>
  <si>
    <t>Provo-Orem, UT MSA</t>
  </si>
  <si>
    <t>Racine, WI MSA</t>
  </si>
  <si>
    <t>Raleigh, NC MSA</t>
  </si>
  <si>
    <t>Reading, PA MSA</t>
  </si>
  <si>
    <t>Redding, CA MSA</t>
  </si>
  <si>
    <t>Oklahoma Nonmetro</t>
  </si>
  <si>
    <t>Richmond, VA MSA</t>
  </si>
  <si>
    <t>Riverside-San Bernardino-Ontario, CA MSA</t>
  </si>
  <si>
    <t>Roanoke, VA MSA</t>
  </si>
  <si>
    <t>Rochester, NY MSA</t>
  </si>
  <si>
    <t>Rockford, IL MSA</t>
  </si>
  <si>
    <t>Sacramento--Roseville--Arden-Arcade, CA MSA</t>
  </si>
  <si>
    <t>Saginaw, MI MSA</t>
  </si>
  <si>
    <t>Oregon Metro</t>
  </si>
  <si>
    <t>Oregon Nonmetro</t>
  </si>
  <si>
    <t>St. George, UT MSA</t>
  </si>
  <si>
    <t>St. Louis, MO-IL MSA</t>
  </si>
  <si>
    <t>Salem, OR MSA</t>
  </si>
  <si>
    <t>Salinas, CA MSA</t>
  </si>
  <si>
    <t>Salisbury, MD-DE MSA</t>
  </si>
  <si>
    <t>Salt Lake City, UT MSA</t>
  </si>
  <si>
    <t>San Antonio-New Braunfels, TX MSA</t>
  </si>
  <si>
    <t>San Diego-Carlsbad, CA MSA</t>
  </si>
  <si>
    <t>San Francisco-Oakland-Hayward, CA MSA</t>
  </si>
  <si>
    <t>San Jose-Sunnyvale-Santa Clara, CA MSA</t>
  </si>
  <si>
    <t>Pennsylvania Metro</t>
  </si>
  <si>
    <t>Pennsylvania Nonmetro</t>
  </si>
  <si>
    <t>San Luis Obispo-Paso Robles-Arroyo Grande, CA MSA</t>
  </si>
  <si>
    <t>Santa Cruz-Watsonville, CA MSA</t>
  </si>
  <si>
    <t>Santa Fe, NM MSA</t>
  </si>
  <si>
    <t>Santa Maria-Santa Barbara, CA MSA</t>
  </si>
  <si>
    <t>Santa Rosa, CA MSA</t>
  </si>
  <si>
    <t>Savannah, GA MSA</t>
  </si>
  <si>
    <t>Scranton--Wilkes-Barre--Hazleton, PA MSA</t>
  </si>
  <si>
    <t>Seattle-Tacoma-Bellevue, WA MSA</t>
  </si>
  <si>
    <t>Sherman-Denison, TX MSA</t>
  </si>
  <si>
    <t>Shreveport-Bossier City, LA MSA</t>
  </si>
  <si>
    <t>Sioux Falls, SD MSA</t>
  </si>
  <si>
    <t>South Bend-Mishawaka, IN-MI MSA</t>
  </si>
  <si>
    <t>Spartanburg, SC MSA</t>
  </si>
  <si>
    <t>Spokane-Spokane Valley, WA MSA</t>
  </si>
  <si>
    <t>Springfield, IL MSA</t>
  </si>
  <si>
    <t>Springfield, MA MSA</t>
  </si>
  <si>
    <t>Springfield, MO MSA</t>
  </si>
  <si>
    <t>Stockton-Lodi, CA MSA</t>
  </si>
  <si>
    <t>South Carolina Nonmetro</t>
  </si>
  <si>
    <t>Syracuse, NY MSA</t>
  </si>
  <si>
    <t>Tallahassee, FL MSA</t>
  </si>
  <si>
    <t>Tampa-St. Petersburg-Clearwater, FL MSA</t>
  </si>
  <si>
    <t>Terre Haute, IN MSA</t>
  </si>
  <si>
    <t>Toledo, OH MSA</t>
  </si>
  <si>
    <t>Topeka, KS MSA</t>
  </si>
  <si>
    <t>Trenton, NJ MSA</t>
  </si>
  <si>
    <t>South Dakota Metro</t>
  </si>
  <si>
    <t>South Dakota Nonmetro</t>
  </si>
  <si>
    <t>Tucson, AZ MSA</t>
  </si>
  <si>
    <t>Tulsa, OK MSA</t>
  </si>
  <si>
    <t>Tyler, TX MSA</t>
  </si>
  <si>
    <t>Urban Honolulu, HI MSA</t>
  </si>
  <si>
    <t>Utica-Rome, NY MSA</t>
  </si>
  <si>
    <t>Vallejo-Fairfield, CA MSA</t>
  </si>
  <si>
    <t>Tennessee Nonmetro</t>
  </si>
  <si>
    <t>Vineland-Bridgeton, NJ MSA</t>
  </si>
  <si>
    <t>Virginia Beach-Norfolk-Newport News, VA-NC MSA</t>
  </si>
  <si>
    <t>Visalia-Porterville, CA MSA</t>
  </si>
  <si>
    <t>Waco, TX MSA</t>
  </si>
  <si>
    <t>Warner Robins, GA MSA</t>
  </si>
  <si>
    <t>Washington-Arlington-Alexandria, DC-VA-MD-WV MSA</t>
  </si>
  <si>
    <t>Waterloo-Cedar Falls, IA MSA</t>
  </si>
  <si>
    <t>Texas Metro</t>
  </si>
  <si>
    <t>Texas Nonmetro</t>
  </si>
  <si>
    <t>Watertown-Fort Drum, NY MSA</t>
  </si>
  <si>
    <t>Wausau, WI MSA</t>
  </si>
  <si>
    <t>Wichita, KS MSA</t>
  </si>
  <si>
    <t>Wichita Falls, TX MSA</t>
  </si>
  <si>
    <t>Williamsport, PA MSA</t>
  </si>
  <si>
    <t>Utah Metro</t>
  </si>
  <si>
    <t>Utah Nonmetro</t>
  </si>
  <si>
    <t>Winchester, VA-WV MSA</t>
  </si>
  <si>
    <t>Winston-Salem, NC MSA</t>
  </si>
  <si>
    <t>Worcester, MA-CT MSA</t>
  </si>
  <si>
    <t>York-Hanover, PA MSA</t>
  </si>
  <si>
    <t>Youngstown-Warren-Boardman, OH-PA MSA</t>
  </si>
  <si>
    <t>Yuma, AZ MSA</t>
  </si>
  <si>
    <t>Vermont Nonmetro</t>
  </si>
  <si>
    <t>Virginia Metro</t>
  </si>
  <si>
    <t>Virginia Nonmetro</t>
  </si>
  <si>
    <t>Washington Metro</t>
  </si>
  <si>
    <t>Washington Nonmetro</t>
  </si>
  <si>
    <t>West Virginia Metro</t>
  </si>
  <si>
    <t>West Virginia Nonmetro</t>
  </si>
  <si>
    <t>Wisconsin Nonmetro</t>
  </si>
  <si>
    <t>Wyoming Metro</t>
  </si>
  <si>
    <t>Wyoming Nonmetro</t>
  </si>
  <si>
    <t>Thresholds from Bureau of Labor Statistics*</t>
  </si>
  <si>
    <t>New Jersey Metro</t>
  </si>
  <si>
    <t>Oklahoma Metro</t>
  </si>
  <si>
    <t>Poverty Thresholds for 2023 by Size of Family and Number of Related Children Under 18 Years</t>
  </si>
  <si>
    <t>Internet Release Date: 9/10/2024</t>
  </si>
  <si>
    <t>Index value from 2018-2022 American Community Survey  =</t>
  </si>
  <si>
    <t>Source: The 2023 Supplemental Poverty Measure (SPM) thresholds were produced by Ryan M. Unitan in the Division of Price and Index Number Research, Bureau of Labor Statistics (BLS). The thresholds and standard errors are based on data from the U.S. Consumer Expenditure Survey (CE) Interview, with all data consumer unit weighted. Standard errors of the thresholds are derived using replicate weights available in the CE Interview data files. Information regarding the estimation of standard errors based on CE replicate weights is available at &lt;https://www.bls.gov/cex/pumd-getting-started-guide.htm&gt;. Thresholds and standards error are produced as a BLS research series and are not considered an official production series. Methodological details and related research regarding the SPM thresholds are available at &lt;https://stats.bls.gov/pir/spmhome.htm&gt;. The 2023 thresholds and related statistics were finalized as of May 13, 2024 and include the imputed value of broadband subsidy benefits. The thresholds for 2022 were finalized as of May 11, 2023.</t>
  </si>
  <si>
    <t>Table 2.  Thresholds for Two Adult Two Child Families: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</si>
</sst>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1" x14ac:knownFonts="1">
    <font>
      <sz val="11"/>
      <color theme="1"/>
      <name val="Calibri"/>
      <family val="2"/>
      <scheme val="minor"/>
    </font>
    <font>
      <sz val="10"/>
      <name val="Arial"/>
      <family val="2"/>
    </font>
    <font>
      <sz val="10"/>
      <name val="Arial"/>
      <family val="2"/>
    </font>
    <font>
      <b/>
      <sz val="10"/>
      <name val="Arial"/>
      <family val="2"/>
    </font>
    <font>
      <sz val="10"/>
      <color indexed="9"/>
      <name val="Arial"/>
      <family val="2"/>
    </font>
    <font>
      <sz val="11"/>
      <color theme="1"/>
      <name val="Calibri"/>
      <family val="2"/>
      <scheme val="minor"/>
    </font>
    <font>
      <b/>
      <sz val="11"/>
      <color theme="1"/>
      <name val="Calibri"/>
      <family val="2"/>
      <scheme val="minor"/>
    </font>
    <font>
      <sz val="11"/>
      <color theme="0"/>
      <name val="Calibri"/>
      <family val="2"/>
      <scheme val="minor"/>
    </font>
    <font>
      <sz val="10"/>
      <color theme="0"/>
      <name val="Arial"/>
      <family val="2"/>
    </font>
    <font>
      <b/>
      <sz val="12"/>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rgb="FFC1C1C1"/>
      </top>
      <bottom style="medium">
        <color rgb="FF000000"/>
      </bottom>
      <diagonal/>
    </border>
    <border>
      <left style="thin">
        <color indexed="64"/>
      </left>
      <right style="thin">
        <color indexed="64"/>
      </right>
      <top style="thin">
        <color rgb="FFC1C1C1"/>
      </top>
      <bottom style="thin">
        <color rgb="FFC1C1C1"/>
      </bottom>
      <diagonal/>
    </border>
  </borders>
  <cellStyleXfs count="7">
    <xf numFmtId="0" fontId="0" fillId="0" borderId="0"/>
    <xf numFmtId="43" fontId="5"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0" fontId="1" fillId="0" borderId="0"/>
    <xf numFmtId="0" fontId="2" fillId="0" borderId="0"/>
    <xf numFmtId="9" fontId="1" fillId="0" borderId="0" applyFont="0" applyFill="0" applyBorder="0" applyAlignment="0" applyProtection="0"/>
  </cellStyleXfs>
  <cellXfs count="52">
    <xf numFmtId="0" fontId="0" fillId="0" borderId="0" xfId="0"/>
    <xf numFmtId="0" fontId="6" fillId="0" borderId="0" xfId="0" applyFont="1"/>
    <xf numFmtId="0" fontId="7" fillId="0" borderId="0" xfId="0" applyFont="1"/>
    <xf numFmtId="0" fontId="2" fillId="0" borderId="0" xfId="5"/>
    <xf numFmtId="0" fontId="2" fillId="0" borderId="2" xfId="5" applyBorder="1"/>
    <xf numFmtId="3" fontId="2" fillId="0" borderId="2" xfId="5" applyNumberFormat="1" applyBorder="1"/>
    <xf numFmtId="0" fontId="3" fillId="0" borderId="2" xfId="5" applyFont="1" applyBorder="1"/>
    <xf numFmtId="3" fontId="2" fillId="2" borderId="2" xfId="5" applyNumberFormat="1" applyFill="1" applyBorder="1"/>
    <xf numFmtId="0" fontId="2" fillId="0" borderId="3" xfId="5" applyBorder="1"/>
    <xf numFmtId="3" fontId="2" fillId="0" borderId="3" xfId="5" applyNumberFormat="1" applyBorder="1"/>
    <xf numFmtId="0" fontId="1" fillId="0" borderId="0" xfId="5" applyFont="1"/>
    <xf numFmtId="0" fontId="0" fillId="0" borderId="0" xfId="0" applyFill="1"/>
    <xf numFmtId="0" fontId="3" fillId="0" borderId="0" xfId="5" applyFont="1" applyAlignment="1">
      <alignment horizontal="center" vertical="center" wrapText="1"/>
    </xf>
    <xf numFmtId="0" fontId="3" fillId="0" borderId="0" xfId="5" applyFont="1" applyAlignment="1">
      <alignment horizontal="center" vertical="center"/>
    </xf>
    <xf numFmtId="0" fontId="8" fillId="0" borderId="0" xfId="0" applyFont="1"/>
    <xf numFmtId="0" fontId="1" fillId="0" borderId="2" xfId="5" applyFont="1" applyBorder="1"/>
    <xf numFmtId="0" fontId="2" fillId="0" borderId="0" xfId="5" applyFill="1" applyBorder="1" applyAlignment="1">
      <alignment horizontal="left" vertical="center"/>
    </xf>
    <xf numFmtId="0" fontId="6" fillId="0" borderId="0" xfId="0" applyFont="1" applyAlignment="1">
      <alignment vertical="center"/>
    </xf>
    <xf numFmtId="0" fontId="9" fillId="0" borderId="0" xfId="0" applyFont="1" applyAlignment="1">
      <alignment horizontal="left" vertical="center"/>
    </xf>
    <xf numFmtId="37" fontId="7" fillId="0" borderId="0" xfId="0" applyNumberFormat="1" applyFont="1"/>
    <xf numFmtId="3" fontId="7" fillId="0" borderId="0" xfId="0" applyNumberFormat="1" applyFont="1"/>
    <xf numFmtId="0" fontId="6" fillId="0" borderId="1" xfId="0" applyFont="1" applyFill="1" applyBorder="1" applyAlignment="1">
      <alignment horizontal="center" vertical="center" wrapText="1"/>
    </xf>
    <xf numFmtId="0" fontId="6" fillId="0" borderId="0" xfId="0" applyFont="1" applyFill="1" applyBorder="1" applyAlignment="1">
      <alignment horizontal="center" vertical="center"/>
    </xf>
    <xf numFmtId="164" fontId="5" fillId="0" borderId="1" xfId="1" applyNumberFormat="1" applyFont="1" applyBorder="1"/>
    <xf numFmtId="164" fontId="5" fillId="0" borderId="11" xfId="1" applyNumberFormat="1" applyFont="1" applyBorder="1"/>
    <xf numFmtId="0" fontId="0" fillId="0" borderId="12" xfId="0" applyFill="1" applyBorder="1"/>
    <xf numFmtId="0" fontId="0" fillId="0" borderId="1" xfId="0" applyBorder="1"/>
    <xf numFmtId="0" fontId="0" fillId="0" borderId="14" xfId="0" applyFont="1" applyFill="1" applyBorder="1" applyAlignment="1">
      <alignment vertical="top" wrapText="1"/>
    </xf>
    <xf numFmtId="0" fontId="0" fillId="0" borderId="13" xfId="0" applyFont="1" applyFill="1" applyBorder="1" applyAlignment="1">
      <alignment vertical="top" wrapText="1"/>
    </xf>
    <xf numFmtId="0" fontId="10" fillId="3" borderId="0" xfId="0" applyFont="1" applyFill="1" applyAlignment="1">
      <alignment horizontal="left" vertical="center"/>
    </xf>
    <xf numFmtId="0" fontId="1" fillId="4" borderId="4" xfId="5" applyFont="1" applyFill="1" applyBorder="1" applyAlignment="1">
      <alignment horizontal="center" vertical="center"/>
    </xf>
    <xf numFmtId="0" fontId="2" fillId="4" borderId="2" xfId="5" applyFill="1" applyBorder="1" applyAlignment="1">
      <alignment horizontal="center" vertical="center"/>
    </xf>
    <xf numFmtId="0" fontId="2" fillId="4" borderId="3" xfId="5" applyFill="1" applyBorder="1" applyAlignment="1">
      <alignment horizontal="center" vertical="center"/>
    </xf>
    <xf numFmtId="0" fontId="2" fillId="4" borderId="4" xfId="5" applyFill="1" applyBorder="1" applyAlignment="1">
      <alignment horizontal="center" vertical="center"/>
    </xf>
    <xf numFmtId="0" fontId="1" fillId="4" borderId="4" xfId="5" applyFont="1" applyFill="1" applyBorder="1" applyAlignment="1">
      <alignment horizontal="center" vertical="center" wrapText="1"/>
    </xf>
    <xf numFmtId="0" fontId="1" fillId="4" borderId="2" xfId="5" applyFont="1" applyFill="1" applyBorder="1" applyAlignment="1">
      <alignment horizontal="center" vertical="center" wrapText="1"/>
    </xf>
    <xf numFmtId="0" fontId="1" fillId="4" borderId="3" xfId="5" applyFont="1" applyFill="1" applyBorder="1" applyAlignment="1">
      <alignment horizontal="center" vertical="center" wrapText="1"/>
    </xf>
    <xf numFmtId="0" fontId="1" fillId="4" borderId="7" xfId="5" applyFont="1" applyFill="1" applyBorder="1" applyAlignment="1">
      <alignment horizontal="center" vertical="center"/>
    </xf>
    <xf numFmtId="0" fontId="1" fillId="4" borderId="5" xfId="5" applyFont="1" applyFill="1" applyBorder="1" applyAlignment="1">
      <alignment horizontal="center" vertical="center"/>
    </xf>
    <xf numFmtId="0" fontId="1" fillId="4" borderId="8" xfId="5" applyFont="1" applyFill="1" applyBorder="1" applyAlignment="1">
      <alignment horizontal="center" vertical="center"/>
    </xf>
    <xf numFmtId="0" fontId="1" fillId="4" borderId="9" xfId="5" applyFont="1" applyFill="1" applyBorder="1" applyAlignment="1">
      <alignment horizontal="center" vertical="center"/>
    </xf>
    <xf numFmtId="0" fontId="1" fillId="4" borderId="6" xfId="5" applyFont="1" applyFill="1" applyBorder="1" applyAlignment="1">
      <alignment horizontal="center" vertical="center"/>
    </xf>
    <xf numFmtId="0" fontId="1" fillId="4" borderId="10" xfId="5" applyFont="1" applyFill="1" applyBorder="1" applyAlignment="1">
      <alignment horizontal="center" vertical="center"/>
    </xf>
    <xf numFmtId="0" fontId="8" fillId="0" borderId="0" xfId="5" applyFont="1" applyAlignment="1">
      <alignment horizontal="left"/>
    </xf>
    <xf numFmtId="0" fontId="6" fillId="0" borderId="0" xfId="5" applyFont="1" applyAlignment="1">
      <alignment horizontal="left" vertical="center"/>
    </xf>
    <xf numFmtId="0" fontId="2" fillId="4" borderId="5" xfId="5" applyFill="1" applyBorder="1" applyAlignment="1">
      <alignment horizontal="left" vertical="center"/>
    </xf>
    <xf numFmtId="0" fontId="3" fillId="0" borderId="0" xfId="5" applyFont="1" applyAlignment="1">
      <alignment horizontal="left"/>
    </xf>
    <xf numFmtId="0" fontId="3" fillId="0" borderId="6" xfId="5" applyFont="1" applyBorder="1" applyAlignment="1">
      <alignment horizontal="left"/>
    </xf>
    <xf numFmtId="0" fontId="3" fillId="0" borderId="6" xfId="5" applyFont="1" applyFill="1" applyBorder="1" applyAlignment="1">
      <alignment horizontal="left"/>
    </xf>
    <xf numFmtId="0" fontId="6" fillId="0" borderId="6" xfId="0" applyFont="1" applyFill="1" applyBorder="1" applyAlignment="1">
      <alignment horizontal="center" vertical="center"/>
    </xf>
    <xf numFmtId="0" fontId="6" fillId="0" borderId="10" xfId="0" applyFont="1" applyFill="1" applyBorder="1" applyAlignment="1">
      <alignment horizontal="center" vertical="center"/>
    </xf>
    <xf numFmtId="0" fontId="0" fillId="0" borderId="0" xfId="0" applyFill="1" applyAlignment="1">
      <alignment horizontal="left" wrapText="1"/>
    </xf>
  </cellXfs>
  <cellStyles count="7">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sz="1600"/>
              <a:t>2023 SPM Poverty Thresholds: Two adults</a:t>
            </a:r>
            <a:r>
              <a:rPr lang="en-US" sz="1600" baseline="0"/>
              <a:t> with</a:t>
            </a:r>
            <a:r>
              <a:rPr lang="en-US" sz="1600"/>
              <a:t> two children</a:t>
            </a:r>
            <a:r>
              <a:rPr lang="en-US" sz="1600" baseline="0"/>
              <a:t> </a:t>
            </a:r>
            <a:endParaRPr lang="en-US" sz="1600"/>
          </a:p>
        </c:rich>
      </c:tx>
      <c:layout>
        <c:manualLayout>
          <c:xMode val="edge"/>
          <c:yMode val="edge"/>
          <c:x val="0.2612036307961505"/>
          <c:y val="6.9119907308883691E-2"/>
        </c:manualLayout>
      </c:layout>
      <c:overlay val="1"/>
    </c:title>
    <c:autoTitleDeleted val="0"/>
    <c:plotArea>
      <c:layout>
        <c:manualLayout>
          <c:layoutTarget val="inner"/>
          <c:xMode val="edge"/>
          <c:yMode val="edge"/>
          <c:x val="9.1450699002164709E-2"/>
          <c:y val="0.18971067182597603"/>
          <c:w val="0.83545635656441086"/>
          <c:h val="0.56461675178453996"/>
        </c:manualLayout>
      </c:layout>
      <c:barChart>
        <c:barDir val="col"/>
        <c:grouping val="clustered"/>
        <c:varyColors val="0"/>
        <c:ser>
          <c:idx val="0"/>
          <c:order val="0"/>
          <c:tx>
            <c:strRef>
              <c:f>Main!$C$7</c:f>
              <c:strCache>
                <c:ptCount val="1"/>
                <c:pt idx="0">
                  <c:v>National</c:v>
                </c:pt>
              </c:strCache>
            </c:strRef>
          </c:tx>
          <c:invertIfNegative val="0"/>
          <c:dLbls>
            <c:numFmt formatCode="\$#,##0" sourceLinked="0"/>
            <c:spPr>
              <a:noFill/>
              <a:ln>
                <a:noFill/>
              </a:ln>
              <a:effectLst/>
            </c:spPr>
            <c:txPr>
              <a:bodyPr/>
              <a:lstStyle/>
              <a:p>
                <a:pPr>
                  <a:defRPr sz="14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Main!$D$6:$F$6</c:f>
              <c:strCache>
                <c:ptCount val="3"/>
                <c:pt idx="0">
                  <c:v>Owner with Mortgage</c:v>
                </c:pt>
                <c:pt idx="1">
                  <c:v>Owner without a Mortgage</c:v>
                </c:pt>
                <c:pt idx="2">
                  <c:v>Renter</c:v>
                </c:pt>
              </c:strCache>
            </c:strRef>
          </c:cat>
          <c:val>
            <c:numRef>
              <c:f>Main!$D$7:$F$7</c:f>
              <c:numCache>
                <c:formatCode>#,##0_);\(#,##0\)</c:formatCode>
                <c:ptCount val="3"/>
                <c:pt idx="0">
                  <c:v>36915</c:v>
                </c:pt>
                <c:pt idx="1">
                  <c:v>30870</c:v>
                </c:pt>
                <c:pt idx="2">
                  <c:v>37482</c:v>
                </c:pt>
              </c:numCache>
            </c:numRef>
          </c:val>
          <c:extLst>
            <c:ext xmlns:c16="http://schemas.microsoft.com/office/drawing/2014/chart" uri="{C3380CC4-5D6E-409C-BE32-E72D297353CC}">
              <c16:uniqueId val="{00000000-9E23-4DB7-BAC2-629A5150DAED}"/>
            </c:ext>
          </c:extLst>
        </c:ser>
        <c:ser>
          <c:idx val="1"/>
          <c:order val="1"/>
          <c:tx>
            <c:strRef>
              <c:f>Main!$C$8</c:f>
              <c:strCache>
                <c:ptCount val="1"/>
                <c:pt idx="0">
                  <c:v>Akron, OH MSA</c:v>
                </c:pt>
              </c:strCache>
            </c:strRef>
          </c:tx>
          <c:invertIfNegative val="0"/>
          <c:dLbls>
            <c:numFmt formatCode="\$#,##0" sourceLinked="0"/>
            <c:spPr>
              <a:noFill/>
              <a:ln>
                <a:noFill/>
              </a:ln>
              <a:effectLst/>
            </c:spPr>
            <c:txPr>
              <a:bodyPr/>
              <a:lstStyle/>
              <a:p>
                <a:pPr algn="ctr">
                  <a:defRPr lang="en-US"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Main!$D$6:$F$6</c:f>
              <c:strCache>
                <c:ptCount val="3"/>
                <c:pt idx="0">
                  <c:v>Owner with Mortgage</c:v>
                </c:pt>
                <c:pt idx="1">
                  <c:v>Owner without a Mortgage</c:v>
                </c:pt>
                <c:pt idx="2">
                  <c:v>Renter</c:v>
                </c:pt>
              </c:strCache>
            </c:strRef>
          </c:cat>
          <c:val>
            <c:numRef>
              <c:f>Main!$D$8:$F$8</c:f>
              <c:numCache>
                <c:formatCode>#,##0</c:formatCode>
                <c:ptCount val="3"/>
                <c:pt idx="0">
                  <c:v>33326</c:v>
                </c:pt>
                <c:pt idx="1">
                  <c:v>28636</c:v>
                </c:pt>
                <c:pt idx="2">
                  <c:v>33763</c:v>
                </c:pt>
              </c:numCache>
            </c:numRef>
          </c:val>
          <c:extLst>
            <c:ext xmlns:c16="http://schemas.microsoft.com/office/drawing/2014/chart" uri="{C3380CC4-5D6E-409C-BE32-E72D297353CC}">
              <c16:uniqueId val="{00000001-9E23-4DB7-BAC2-629A5150DAED}"/>
            </c:ext>
          </c:extLst>
        </c:ser>
        <c:dLbls>
          <c:showLegendKey val="0"/>
          <c:showVal val="0"/>
          <c:showCatName val="0"/>
          <c:showSerName val="0"/>
          <c:showPercent val="0"/>
          <c:showBubbleSize val="0"/>
        </c:dLbls>
        <c:gapWidth val="78"/>
        <c:overlap val="-3"/>
        <c:axId val="102697600"/>
        <c:axId val="102705408"/>
      </c:barChart>
      <c:catAx>
        <c:axId val="102697600"/>
        <c:scaling>
          <c:orientation val="minMax"/>
        </c:scaling>
        <c:delete val="0"/>
        <c:axPos val="b"/>
        <c:numFmt formatCode="General" sourceLinked="1"/>
        <c:majorTickMark val="none"/>
        <c:minorTickMark val="none"/>
        <c:tickLblPos val="nextTo"/>
        <c:txPr>
          <a:bodyPr/>
          <a:lstStyle/>
          <a:p>
            <a:pPr>
              <a:defRPr sz="1400"/>
            </a:pPr>
            <a:endParaRPr lang="en-US"/>
          </a:p>
        </c:txPr>
        <c:crossAx val="102705408"/>
        <c:crosses val="autoZero"/>
        <c:auto val="1"/>
        <c:lblAlgn val="ctr"/>
        <c:lblOffset val="100"/>
        <c:noMultiLvlLbl val="0"/>
      </c:catAx>
      <c:valAx>
        <c:axId val="102705408"/>
        <c:scaling>
          <c:orientation val="minMax"/>
        </c:scaling>
        <c:delete val="0"/>
        <c:axPos val="l"/>
        <c:majorGridlines/>
        <c:numFmt formatCode="\$#,##0" sourceLinked="0"/>
        <c:majorTickMark val="out"/>
        <c:minorTickMark val="none"/>
        <c:tickLblPos val="nextTo"/>
        <c:crossAx val="102697600"/>
        <c:crosses val="autoZero"/>
        <c:crossBetween val="between"/>
      </c:valAx>
    </c:plotArea>
    <c:legend>
      <c:legendPos val="b"/>
      <c:overlay val="0"/>
      <c:txPr>
        <a:bodyPr/>
        <a:lstStyle/>
        <a:p>
          <a:pPr>
            <a:defRPr sz="1600"/>
          </a:pPr>
          <a:endParaRPr lang="en-US"/>
        </a:p>
      </c:txPr>
    </c:legend>
    <c:plotVisOnly val="1"/>
    <c:dispBlanksAs val="gap"/>
    <c:showDLblsOverMax val="0"/>
  </c:chart>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76200</xdr:colOff>
      <xdr:row>7</xdr:row>
      <xdr:rowOff>161924</xdr:rowOff>
    </xdr:from>
    <xdr:to>
      <xdr:col>6</xdr:col>
      <xdr:colOff>514350</xdr:colOff>
      <xdr:row>31</xdr:row>
      <xdr:rowOff>95250</xdr:rowOff>
    </xdr:to>
    <xdr:graphicFrame macro="">
      <xdr:nvGraphicFramePr>
        <xdr:cNvPr id="1025" name="Chart 1">
          <a:extLst>
            <a:ext uri="{FF2B5EF4-FFF2-40B4-BE49-F238E27FC236}">
              <a16:creationId xmlns:a16="http://schemas.microsoft.com/office/drawing/2014/main" id="{00000000-0008-0000-00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33"/>
  <sheetViews>
    <sheetView tabSelected="1" workbookViewId="0">
      <selection activeCell="A3" sqref="A3:A5"/>
    </sheetView>
  </sheetViews>
  <sheetFormatPr defaultRowHeight="15" x14ac:dyDescent="0.25"/>
  <cols>
    <col min="1" max="1" width="94" customWidth="1"/>
    <col min="2" max="2" width="0" hidden="1" customWidth="1"/>
    <col min="3" max="6" width="9.140625" style="2"/>
  </cols>
  <sheetData>
    <row r="1" spans="1:9" ht="0.95" customHeight="1" x14ac:dyDescent="0.25">
      <c r="A1" s="14" t="s">
        <v>31</v>
      </c>
    </row>
    <row r="2" spans="1:9" x14ac:dyDescent="0.25">
      <c r="A2" s="1" t="s">
        <v>10</v>
      </c>
    </row>
    <row r="3" spans="1:9" ht="15" customHeight="1" x14ac:dyDescent="0.25">
      <c r="A3" s="29" t="s">
        <v>56</v>
      </c>
      <c r="C3" s="2" t="s">
        <v>8</v>
      </c>
      <c r="D3" s="2" t="s">
        <v>9</v>
      </c>
    </row>
    <row r="4" spans="1:9" ht="15" customHeight="1" x14ac:dyDescent="0.25">
      <c r="A4" s="29"/>
      <c r="B4" t="str">
        <f>+A3</f>
        <v>Akron, OH MSA</v>
      </c>
      <c r="C4" s="2">
        <f>VLOOKUP($B$4,'Thresholds 2023'!$B$3:$I$379,6,FALSE)</f>
        <v>0</v>
      </c>
      <c r="D4" s="2">
        <f>VLOOKUP($B$4,'Thresholds 2023'!$B$3:$I$379,2,FALSE)</f>
        <v>0.77600000000000002</v>
      </c>
    </row>
    <row r="5" spans="1:9" ht="15" customHeight="1" x14ac:dyDescent="0.25">
      <c r="A5" s="29"/>
    </row>
    <row r="6" spans="1:9" ht="27.75" customHeight="1" x14ac:dyDescent="0.25">
      <c r="A6" s="17" t="s">
        <v>389</v>
      </c>
      <c r="D6" s="2" t="s">
        <v>4</v>
      </c>
      <c r="E6" s="2" t="s">
        <v>5</v>
      </c>
      <c r="F6" s="2" t="s">
        <v>6</v>
      </c>
      <c r="G6" s="2"/>
      <c r="H6" s="2"/>
      <c r="I6" s="2"/>
    </row>
    <row r="7" spans="1:9" ht="15.75" x14ac:dyDescent="0.25">
      <c r="A7" s="18">
        <f>+D4</f>
        <v>0.77600000000000002</v>
      </c>
      <c r="C7" s="2" t="s">
        <v>7</v>
      </c>
      <c r="D7" s="19">
        <f>'Thresholds 2023'!D2</f>
        <v>36915</v>
      </c>
      <c r="E7" s="19">
        <f>'Thresholds 2023'!E2</f>
        <v>30870</v>
      </c>
      <c r="F7" s="19">
        <f>'Thresholds 2023'!F2</f>
        <v>37482</v>
      </c>
      <c r="G7" s="2"/>
      <c r="H7" s="2"/>
      <c r="I7" s="2"/>
    </row>
    <row r="8" spans="1:9" x14ac:dyDescent="0.25">
      <c r="C8" s="2" t="str">
        <f>+A3</f>
        <v>Akron, OH MSA</v>
      </c>
      <c r="D8" s="20">
        <f>VLOOKUP($B$4,'Thresholds 2023'!$B$3:$I$379,3,FALSE)</f>
        <v>33326</v>
      </c>
      <c r="E8" s="20">
        <f>VLOOKUP($B$4,'Thresholds 2023'!$B$3:$I$379,4,FALSE)</f>
        <v>28636</v>
      </c>
      <c r="F8" s="20">
        <f>VLOOKUP($B$4,'Thresholds 2023'!$B$3:$I$379,5,FALSE)</f>
        <v>33763</v>
      </c>
      <c r="G8" s="2"/>
      <c r="H8" s="2"/>
      <c r="I8" s="2"/>
    </row>
    <row r="9" spans="1:9" x14ac:dyDescent="0.25">
      <c r="G9" s="2"/>
      <c r="H9" s="2"/>
      <c r="I9" s="2"/>
    </row>
    <row r="10" spans="1:9" x14ac:dyDescent="0.25">
      <c r="G10" s="2"/>
      <c r="H10" s="2"/>
      <c r="I10" s="2"/>
    </row>
    <row r="33" spans="1:1" x14ac:dyDescent="0.25">
      <c r="A33" t="s">
        <v>388</v>
      </c>
    </row>
  </sheetData>
  <mergeCells count="1">
    <mergeCell ref="A3:A5"/>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'Thresholds 2023'!$B$3:$B$343</xm:f>
          </x14:formula1>
          <xm:sqref>A3:A5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0"/>
  <sheetViews>
    <sheetView workbookViewId="0">
      <selection activeCell="A81" sqref="A81"/>
    </sheetView>
  </sheetViews>
  <sheetFormatPr defaultColWidth="9.140625" defaultRowHeight="12.75" x14ac:dyDescent="0.2"/>
  <cols>
    <col min="1" max="1" width="32.28515625" style="3" customWidth="1"/>
    <col min="2" max="2" width="9.5703125" style="3" bestFit="1" customWidth="1"/>
    <col min="3" max="11" width="10.28515625" style="3" bestFit="1" customWidth="1"/>
    <col min="12" max="16384" width="9.140625" style="3"/>
  </cols>
  <sheetData>
    <row r="1" spans="1:11" ht="0.95" customHeight="1" x14ac:dyDescent="0.2">
      <c r="A1" s="43" t="s">
        <v>44</v>
      </c>
      <c r="B1" s="43"/>
      <c r="C1" s="43"/>
      <c r="D1" s="43"/>
      <c r="E1" s="43"/>
      <c r="F1" s="43"/>
      <c r="G1" s="43"/>
      <c r="H1" s="43"/>
      <c r="I1" s="43"/>
      <c r="J1" s="43"/>
      <c r="K1" s="43"/>
    </row>
    <row r="2" spans="1:11" ht="35.25" customHeight="1" x14ac:dyDescent="0.2">
      <c r="A2" s="44" t="str">
        <f>+Main!A3</f>
        <v>Akron, OH MSA</v>
      </c>
      <c r="B2" s="44"/>
      <c r="C2" s="44"/>
      <c r="D2" s="44"/>
      <c r="E2" s="44"/>
      <c r="F2" s="12" t="s">
        <v>27</v>
      </c>
      <c r="G2" s="13">
        <f>+Main!A7</f>
        <v>0.77600000000000002</v>
      </c>
    </row>
    <row r="3" spans="1:11" x14ac:dyDescent="0.2">
      <c r="A3" s="46" t="s">
        <v>387</v>
      </c>
      <c r="B3" s="46"/>
      <c r="C3" s="46"/>
      <c r="D3" s="46"/>
      <c r="E3" s="46"/>
      <c r="F3" s="46"/>
      <c r="G3" s="46"/>
      <c r="H3" s="46"/>
      <c r="I3" s="46"/>
      <c r="J3" s="46"/>
      <c r="K3" s="46"/>
    </row>
    <row r="4" spans="1:11" x14ac:dyDescent="0.2">
      <c r="A4" s="47" t="s">
        <v>11</v>
      </c>
      <c r="B4" s="47"/>
      <c r="C4" s="47"/>
      <c r="D4" s="47"/>
      <c r="E4" s="47"/>
      <c r="F4" s="47"/>
      <c r="G4" s="47"/>
      <c r="H4" s="47"/>
      <c r="I4" s="47"/>
      <c r="J4" s="47"/>
      <c r="K4" s="47"/>
    </row>
    <row r="5" spans="1:11" ht="15" customHeight="1" x14ac:dyDescent="0.2">
      <c r="A5" s="30" t="s">
        <v>29</v>
      </c>
      <c r="B5" s="34" t="s">
        <v>30</v>
      </c>
      <c r="C5" s="37" t="s">
        <v>28</v>
      </c>
      <c r="D5" s="38"/>
      <c r="E5" s="38"/>
      <c r="F5" s="38"/>
      <c r="G5" s="38"/>
      <c r="H5" s="38"/>
      <c r="I5" s="38"/>
      <c r="J5" s="38"/>
      <c r="K5" s="39"/>
    </row>
    <row r="6" spans="1:11" x14ac:dyDescent="0.2">
      <c r="A6" s="31"/>
      <c r="B6" s="35"/>
      <c r="C6" s="40"/>
      <c r="D6" s="41"/>
      <c r="E6" s="41"/>
      <c r="F6" s="41"/>
      <c r="G6" s="41"/>
      <c r="H6" s="41"/>
      <c r="I6" s="41"/>
      <c r="J6" s="41"/>
      <c r="K6" s="42"/>
    </row>
    <row r="7" spans="1:11" ht="15" customHeight="1" x14ac:dyDescent="0.2">
      <c r="A7" s="31"/>
      <c r="B7" s="35"/>
      <c r="C7" s="33" t="s">
        <v>13</v>
      </c>
      <c r="D7" s="33" t="s">
        <v>14</v>
      </c>
      <c r="E7" s="33" t="s">
        <v>15</v>
      </c>
      <c r="F7" s="33" t="s">
        <v>16</v>
      </c>
      <c r="G7" s="33" t="s">
        <v>17</v>
      </c>
      <c r="H7" s="33" t="s">
        <v>18</v>
      </c>
      <c r="I7" s="33" t="s">
        <v>19</v>
      </c>
      <c r="J7" s="33" t="s">
        <v>20</v>
      </c>
      <c r="K7" s="33" t="s">
        <v>12</v>
      </c>
    </row>
    <row r="8" spans="1:11" x14ac:dyDescent="0.2">
      <c r="A8" s="31"/>
      <c r="B8" s="35"/>
      <c r="C8" s="31"/>
      <c r="D8" s="31"/>
      <c r="E8" s="31"/>
      <c r="F8" s="31"/>
      <c r="G8" s="31"/>
      <c r="H8" s="31"/>
      <c r="I8" s="31"/>
      <c r="J8" s="31"/>
      <c r="K8" s="31"/>
    </row>
    <row r="9" spans="1:11" x14ac:dyDescent="0.2">
      <c r="A9" s="32"/>
      <c r="B9" s="36"/>
      <c r="C9" s="32"/>
      <c r="D9" s="32"/>
      <c r="E9" s="32"/>
      <c r="F9" s="32"/>
      <c r="G9" s="32"/>
      <c r="H9" s="32"/>
      <c r="I9" s="32"/>
      <c r="J9" s="32"/>
      <c r="K9" s="32"/>
    </row>
    <row r="10" spans="1:11" x14ac:dyDescent="0.2">
      <c r="A10" s="4"/>
      <c r="B10" s="4"/>
      <c r="C10" s="4"/>
      <c r="D10" s="4">
        <v>1</v>
      </c>
      <c r="E10" s="4">
        <v>2</v>
      </c>
      <c r="F10" s="4">
        <v>3</v>
      </c>
      <c r="G10" s="4">
        <v>4</v>
      </c>
      <c r="H10" s="4">
        <v>5</v>
      </c>
      <c r="I10" s="4">
        <v>6</v>
      </c>
      <c r="J10" s="4">
        <v>7</v>
      </c>
      <c r="K10" s="4">
        <v>8</v>
      </c>
    </row>
    <row r="11" spans="1:11" x14ac:dyDescent="0.2">
      <c r="A11" s="6" t="s">
        <v>32</v>
      </c>
      <c r="B11" s="5"/>
      <c r="C11" s="4"/>
      <c r="D11" s="4"/>
      <c r="E11" s="4"/>
      <c r="F11" s="4"/>
      <c r="G11" s="4"/>
      <c r="H11" s="4"/>
      <c r="I11" s="4"/>
      <c r="J11" s="4"/>
      <c r="K11" s="4"/>
    </row>
    <row r="12" spans="1:11" x14ac:dyDescent="0.2">
      <c r="A12" s="15" t="s">
        <v>40</v>
      </c>
      <c r="B12" s="5">
        <v>1</v>
      </c>
      <c r="C12" s="5">
        <f>+((1^0.7)/(3^0.7))*$E$20</f>
        <v>15445.369829982665</v>
      </c>
      <c r="D12" s="5"/>
      <c r="E12" s="5"/>
      <c r="F12" s="5"/>
      <c r="G12" s="5"/>
      <c r="H12" s="5"/>
      <c r="I12" s="5"/>
      <c r="J12" s="5"/>
      <c r="K12" s="5"/>
    </row>
    <row r="13" spans="1:11" x14ac:dyDescent="0.2">
      <c r="A13" s="15" t="s">
        <v>41</v>
      </c>
      <c r="B13" s="5">
        <v>1</v>
      </c>
      <c r="C13" s="5">
        <f>+((1^0.7)/(3^0.7))*$E$20</f>
        <v>15445.369829982665</v>
      </c>
      <c r="D13" s="5"/>
      <c r="E13" s="5"/>
      <c r="F13" s="5"/>
      <c r="G13" s="5"/>
      <c r="H13" s="5"/>
      <c r="I13" s="5"/>
      <c r="J13" s="5"/>
      <c r="K13" s="5"/>
    </row>
    <row r="14" spans="1:11" x14ac:dyDescent="0.2">
      <c r="A14" s="4"/>
      <c r="B14" s="4"/>
      <c r="C14" s="5"/>
      <c r="D14" s="5"/>
      <c r="E14" s="5"/>
      <c r="F14" s="5"/>
      <c r="G14" s="5"/>
      <c r="H14" s="5"/>
      <c r="I14" s="5"/>
      <c r="J14" s="5"/>
      <c r="K14" s="5"/>
    </row>
    <row r="15" spans="1:11" x14ac:dyDescent="0.2">
      <c r="A15" s="6" t="s">
        <v>33</v>
      </c>
      <c r="B15" s="5"/>
      <c r="C15" s="5"/>
      <c r="D15" s="5"/>
      <c r="E15" s="5"/>
      <c r="F15" s="5"/>
      <c r="G15" s="5"/>
      <c r="H15" s="5"/>
      <c r="I15" s="5"/>
      <c r="J15" s="5"/>
      <c r="K15" s="5"/>
    </row>
    <row r="16" spans="1:11" x14ac:dyDescent="0.2">
      <c r="A16" s="15" t="s">
        <v>42</v>
      </c>
      <c r="B16" s="5">
        <v>2</v>
      </c>
      <c r="C16" s="5">
        <f>+($E$20*1.41)/(3^0.7)</f>
        <v>21777.971460275556</v>
      </c>
      <c r="D16" s="5">
        <f>+D26</f>
        <v>23307.144313751276</v>
      </c>
      <c r="E16" s="5"/>
      <c r="F16" s="5"/>
      <c r="G16" s="5"/>
      <c r="H16" s="5"/>
      <c r="I16" s="5"/>
      <c r="J16" s="5"/>
      <c r="K16" s="5"/>
    </row>
    <row r="17" spans="1:11" x14ac:dyDescent="0.2">
      <c r="A17" s="15" t="s">
        <v>43</v>
      </c>
      <c r="B17" s="5">
        <v>2</v>
      </c>
      <c r="C17" s="5">
        <f>+($E$20*1.41)/(3^0.7)</f>
        <v>21777.971460275556</v>
      </c>
      <c r="D17" s="5">
        <f>+D26</f>
        <v>23307.144313751276</v>
      </c>
      <c r="E17" s="5"/>
      <c r="F17" s="5"/>
      <c r="G17" s="5"/>
      <c r="H17" s="5"/>
      <c r="I17" s="5"/>
      <c r="J17" s="5"/>
      <c r="K17" s="5"/>
    </row>
    <row r="18" spans="1:11" x14ac:dyDescent="0.2">
      <c r="A18" s="6" t="s">
        <v>21</v>
      </c>
      <c r="B18" s="4"/>
      <c r="C18" s="5"/>
      <c r="D18" s="5"/>
      <c r="E18" s="5"/>
      <c r="F18" s="5"/>
      <c r="G18" s="5"/>
      <c r="H18" s="5"/>
      <c r="I18" s="5"/>
      <c r="J18" s="5"/>
      <c r="K18" s="5"/>
    </row>
    <row r="19" spans="1:11" x14ac:dyDescent="0.2">
      <c r="A19" s="15" t="s">
        <v>34</v>
      </c>
      <c r="B19" s="5">
        <v>3</v>
      </c>
      <c r="C19" s="5">
        <f>+$E$20*((3^0.7)/3^0.7)</f>
        <v>33326</v>
      </c>
      <c r="D19" s="5">
        <f t="shared" ref="D19:F24" si="0">+(((($B19-D$10)+0.5*D$10)^0.7)/(3^0.7))*$E$20</f>
        <v>29332.988890172262</v>
      </c>
      <c r="E19" s="5"/>
      <c r="F19" s="5"/>
      <c r="G19" s="5"/>
      <c r="H19" s="5"/>
      <c r="I19" s="5"/>
      <c r="J19" s="5"/>
      <c r="K19" s="5"/>
    </row>
    <row r="20" spans="1:11" x14ac:dyDescent="0.2">
      <c r="A20" s="15" t="s">
        <v>35</v>
      </c>
      <c r="B20" s="5">
        <v>4</v>
      </c>
      <c r="C20" s="5">
        <f>+$E$20*((4^0.7)/3^0.7)</f>
        <v>40760.575350950232</v>
      </c>
      <c r="D20" s="5">
        <f t="shared" si="0"/>
        <v>37123.245954710095</v>
      </c>
      <c r="E20" s="7">
        <f>+Main!D8</f>
        <v>33326</v>
      </c>
      <c r="F20" s="5"/>
      <c r="G20" s="5"/>
      <c r="H20" s="5"/>
      <c r="I20" s="5"/>
      <c r="J20" s="5"/>
      <c r="K20" s="5"/>
    </row>
    <row r="21" spans="1:11" x14ac:dyDescent="0.2">
      <c r="A21" s="15" t="s">
        <v>36</v>
      </c>
      <c r="B21" s="5">
        <v>5</v>
      </c>
      <c r="C21" s="5">
        <f>+$E$20*((5^0.7)/3^0.7)</f>
        <v>47651.581036666503</v>
      </c>
      <c r="D21" s="5">
        <f t="shared" si="0"/>
        <v>44263.634522351553</v>
      </c>
      <c r="E21" s="5">
        <f t="shared" si="0"/>
        <v>40760.575350950232</v>
      </c>
      <c r="F21" s="5">
        <f t="shared" si="0"/>
        <v>37123.245954710095</v>
      </c>
      <c r="G21" s="5"/>
      <c r="H21" s="5"/>
      <c r="I21" s="5"/>
      <c r="J21" s="5"/>
      <c r="K21" s="5"/>
    </row>
    <row r="22" spans="1:11" x14ac:dyDescent="0.2">
      <c r="A22" s="15" t="s">
        <v>37</v>
      </c>
      <c r="B22" s="5">
        <v>6</v>
      </c>
      <c r="C22" s="5">
        <f>+$E$20*((6^0.7)/3^0.7)</f>
        <v>54138.2467219358</v>
      </c>
      <c r="D22" s="5">
        <f t="shared" si="0"/>
        <v>50939.208707463527</v>
      </c>
      <c r="E22" s="5">
        <f t="shared" si="0"/>
        <v>47651.581036666503</v>
      </c>
      <c r="F22" s="5">
        <f t="shared" si="0"/>
        <v>44263.634522351553</v>
      </c>
      <c r="G22" s="5">
        <f>+(((($B22-G$10)+0.5*G$10)^0.7)/(3^0.7))*$E$20</f>
        <v>40760.575350950232</v>
      </c>
      <c r="H22" s="5"/>
      <c r="I22" s="5"/>
      <c r="J22" s="5"/>
      <c r="K22" s="5"/>
    </row>
    <row r="23" spans="1:11" x14ac:dyDescent="0.2">
      <c r="A23" s="15" t="s">
        <v>38</v>
      </c>
      <c r="B23" s="5">
        <v>7</v>
      </c>
      <c r="C23" s="5">
        <f>+$E$20*((7^0.7)/3^0.7)</f>
        <v>60306.890974470392</v>
      </c>
      <c r="D23" s="5">
        <f t="shared" si="0"/>
        <v>57258.196064135329</v>
      </c>
      <c r="E23" s="5">
        <f t="shared" si="0"/>
        <v>54138.2467219358</v>
      </c>
      <c r="F23" s="5">
        <f t="shared" si="0"/>
        <v>50939.208707463527</v>
      </c>
      <c r="G23" s="5">
        <f>+(((($B23-G$10)+0.5*G$10)^0.7)/(3^0.7))*$E$20</f>
        <v>47651.581036666503</v>
      </c>
      <c r="H23" s="5">
        <f>+(((($B23-H$10)+0.5*H$10)^0.7)/(3^0.7))*$E$20</f>
        <v>44263.634522351553</v>
      </c>
      <c r="I23" s="5"/>
      <c r="J23" s="5"/>
      <c r="K23" s="5"/>
    </row>
    <row r="24" spans="1:11" x14ac:dyDescent="0.2">
      <c r="A24" s="15" t="s">
        <v>39</v>
      </c>
      <c r="B24" s="5">
        <v>8</v>
      </c>
      <c r="C24" s="5">
        <f>+$E$20*((8^0.7)/3^0.7)</f>
        <v>66215.750011336451</v>
      </c>
      <c r="D24" s="5">
        <f t="shared" si="0"/>
        <v>63290.889018160728</v>
      </c>
      <c r="E24" s="5">
        <f t="shared" si="0"/>
        <v>60306.890974470392</v>
      </c>
      <c r="F24" s="5">
        <f t="shared" si="0"/>
        <v>57258.196064135329</v>
      </c>
      <c r="G24" s="5">
        <f>+(((($B24-G$10)+0.5*G$10)^0.7)/(3^0.7))*$E$20</f>
        <v>54138.2467219358</v>
      </c>
      <c r="H24" s="5">
        <f>+(((($B24-H$10)+0.5*H$10)^0.7)/(3^0.7))*$E$20</f>
        <v>50939.208707463527</v>
      </c>
      <c r="I24" s="5">
        <f>+(((($B24-I$10)+0.5*I$10)^0.7)/(3^0.7))*$E$20</f>
        <v>47651.581036666503</v>
      </c>
      <c r="J24" s="5"/>
      <c r="K24" s="5"/>
    </row>
    <row r="25" spans="1:11" x14ac:dyDescent="0.2">
      <c r="A25" s="6" t="s">
        <v>22</v>
      </c>
      <c r="B25" s="5"/>
      <c r="C25" s="5"/>
      <c r="D25" s="5"/>
      <c r="E25" s="5"/>
      <c r="F25" s="5"/>
      <c r="G25" s="5"/>
      <c r="H25" s="5"/>
      <c r="I25" s="5"/>
      <c r="J25" s="5"/>
      <c r="K25" s="5"/>
    </row>
    <row r="26" spans="1:11" x14ac:dyDescent="0.2">
      <c r="A26" s="4" t="s">
        <v>23</v>
      </c>
      <c r="B26" s="5"/>
      <c r="C26" s="5"/>
      <c r="D26" s="5">
        <f>+((1.8^0.7)/(3^0.7))*$E$20</f>
        <v>23307.144313751276</v>
      </c>
      <c r="E26" s="5">
        <f t="shared" ref="E26:K26" si="1">+(((1.8+0.5*(E$10-1))^0.7)/(3^0.7))*$E$20</f>
        <v>27669.913207771442</v>
      </c>
      <c r="F26" s="5">
        <f t="shared" si="1"/>
        <v>31754.767231007143</v>
      </c>
      <c r="G26" s="5">
        <f t="shared" si="1"/>
        <v>35625.26221488171</v>
      </c>
      <c r="H26" s="5">
        <f t="shared" si="1"/>
        <v>39323.016843737423</v>
      </c>
      <c r="I26" s="5">
        <f t="shared" si="1"/>
        <v>42877.18159776886</v>
      </c>
      <c r="J26" s="5">
        <f t="shared" si="1"/>
        <v>46309.189262362619</v>
      </c>
      <c r="K26" s="5">
        <f t="shared" si="1"/>
        <v>49635.387918781853</v>
      </c>
    </row>
    <row r="27" spans="1:11" x14ac:dyDescent="0.2">
      <c r="A27" s="8" t="s">
        <v>24</v>
      </c>
      <c r="B27" s="9"/>
      <c r="C27" s="9"/>
      <c r="D27" s="9"/>
      <c r="E27" s="9"/>
      <c r="F27" s="9"/>
      <c r="G27" s="9"/>
      <c r="H27" s="9"/>
      <c r="I27" s="9"/>
      <c r="J27" s="9"/>
      <c r="K27" s="9"/>
    </row>
    <row r="28" spans="1:11" x14ac:dyDescent="0.2">
      <c r="A28" s="45" t="s">
        <v>25</v>
      </c>
      <c r="B28" s="45"/>
      <c r="C28" s="45"/>
      <c r="D28" s="45"/>
      <c r="E28" s="45"/>
      <c r="F28" s="45"/>
      <c r="G28" s="45"/>
      <c r="H28" s="45"/>
      <c r="I28" s="45"/>
      <c r="J28" s="45"/>
      <c r="K28" s="45"/>
    </row>
    <row r="29" spans="1:11" ht="15" customHeight="1" x14ac:dyDescent="0.2">
      <c r="A29" s="48" t="s">
        <v>26</v>
      </c>
      <c r="B29" s="48"/>
      <c r="C29" s="48"/>
      <c r="D29" s="48"/>
      <c r="E29" s="48"/>
      <c r="F29" s="48"/>
      <c r="G29" s="48"/>
      <c r="H29" s="48"/>
      <c r="I29" s="48"/>
      <c r="J29" s="48"/>
      <c r="K29" s="48"/>
    </row>
    <row r="30" spans="1:11" ht="12.75" customHeight="1" x14ac:dyDescent="0.2">
      <c r="A30" s="30" t="s">
        <v>29</v>
      </c>
      <c r="B30" s="34" t="s">
        <v>30</v>
      </c>
      <c r="C30" s="37" t="s">
        <v>28</v>
      </c>
      <c r="D30" s="38"/>
      <c r="E30" s="38"/>
      <c r="F30" s="38"/>
      <c r="G30" s="38"/>
      <c r="H30" s="38"/>
      <c r="I30" s="38"/>
      <c r="J30" s="38"/>
      <c r="K30" s="39"/>
    </row>
    <row r="31" spans="1:11" x14ac:dyDescent="0.2">
      <c r="A31" s="31"/>
      <c r="B31" s="35"/>
      <c r="C31" s="40"/>
      <c r="D31" s="41"/>
      <c r="E31" s="41"/>
      <c r="F31" s="41"/>
      <c r="G31" s="41"/>
      <c r="H31" s="41"/>
      <c r="I31" s="41"/>
      <c r="J31" s="41"/>
      <c r="K31" s="42"/>
    </row>
    <row r="32" spans="1:11" x14ac:dyDescent="0.2">
      <c r="A32" s="31"/>
      <c r="B32" s="35"/>
      <c r="C32" s="33" t="s">
        <v>13</v>
      </c>
      <c r="D32" s="33" t="s">
        <v>14</v>
      </c>
      <c r="E32" s="33" t="s">
        <v>15</v>
      </c>
      <c r="F32" s="33" t="s">
        <v>16</v>
      </c>
      <c r="G32" s="33" t="s">
        <v>17</v>
      </c>
      <c r="H32" s="33" t="s">
        <v>18</v>
      </c>
      <c r="I32" s="33" t="s">
        <v>19</v>
      </c>
      <c r="J32" s="33" t="s">
        <v>20</v>
      </c>
      <c r="K32" s="33" t="s">
        <v>12</v>
      </c>
    </row>
    <row r="33" spans="1:11" x14ac:dyDescent="0.2">
      <c r="A33" s="31"/>
      <c r="B33" s="35"/>
      <c r="C33" s="31"/>
      <c r="D33" s="31"/>
      <c r="E33" s="31"/>
      <c r="F33" s="31"/>
      <c r="G33" s="31"/>
      <c r="H33" s="31"/>
      <c r="I33" s="31"/>
      <c r="J33" s="31"/>
      <c r="K33" s="31"/>
    </row>
    <row r="34" spans="1:11" x14ac:dyDescent="0.2">
      <c r="A34" s="32"/>
      <c r="B34" s="36"/>
      <c r="C34" s="32"/>
      <c r="D34" s="32"/>
      <c r="E34" s="32"/>
      <c r="F34" s="32"/>
      <c r="G34" s="32"/>
      <c r="H34" s="32"/>
      <c r="I34" s="32"/>
      <c r="J34" s="32"/>
      <c r="K34" s="32"/>
    </row>
    <row r="35" spans="1:11" x14ac:dyDescent="0.2">
      <c r="A35" s="4"/>
      <c r="B35" s="4"/>
      <c r="C35" s="4"/>
      <c r="D35" s="4">
        <v>1</v>
      </c>
      <c r="E35" s="4">
        <v>2</v>
      </c>
      <c r="F35" s="4">
        <v>3</v>
      </c>
      <c r="G35" s="4">
        <v>4</v>
      </c>
      <c r="H35" s="4">
        <v>5</v>
      </c>
      <c r="I35" s="4">
        <v>6</v>
      </c>
      <c r="J35" s="4">
        <v>7</v>
      </c>
      <c r="K35" s="4">
        <v>8</v>
      </c>
    </row>
    <row r="36" spans="1:11" x14ac:dyDescent="0.2">
      <c r="A36" s="6" t="s">
        <v>32</v>
      </c>
      <c r="B36" s="5"/>
      <c r="C36" s="4"/>
      <c r="D36" s="4"/>
      <c r="E36" s="4"/>
      <c r="F36" s="4"/>
      <c r="G36" s="4"/>
      <c r="H36" s="4"/>
      <c r="I36" s="4"/>
      <c r="J36" s="4"/>
      <c r="K36" s="4"/>
    </row>
    <row r="37" spans="1:11" x14ac:dyDescent="0.2">
      <c r="A37" s="15" t="s">
        <v>40</v>
      </c>
      <c r="B37" s="5">
        <v>1</v>
      </c>
      <c r="C37" s="5">
        <f>+((1^0.7)/(3^0.7))*$E$45</f>
        <v>13271.728093722126</v>
      </c>
      <c r="D37" s="5"/>
      <c r="E37" s="5"/>
      <c r="F37" s="5"/>
      <c r="G37" s="5"/>
      <c r="H37" s="5"/>
      <c r="I37" s="5"/>
      <c r="J37" s="5"/>
      <c r="K37" s="5"/>
    </row>
    <row r="38" spans="1:11" x14ac:dyDescent="0.2">
      <c r="A38" s="15" t="s">
        <v>41</v>
      </c>
      <c r="B38" s="5">
        <v>1</v>
      </c>
      <c r="C38" s="5">
        <f>+((1^0.7)/(3^0.7))*$E$45</f>
        <v>13271.728093722126</v>
      </c>
      <c r="D38" s="5"/>
      <c r="E38" s="5"/>
      <c r="F38" s="5"/>
      <c r="G38" s="5"/>
      <c r="H38" s="5"/>
      <c r="I38" s="5"/>
      <c r="J38" s="5"/>
      <c r="K38" s="5"/>
    </row>
    <row r="39" spans="1:11" x14ac:dyDescent="0.2">
      <c r="A39" s="4"/>
      <c r="B39" s="4"/>
      <c r="C39" s="5"/>
      <c r="D39" s="5"/>
      <c r="E39" s="5"/>
      <c r="F39" s="5"/>
      <c r="G39" s="5"/>
      <c r="H39" s="5"/>
      <c r="I39" s="5"/>
      <c r="J39" s="5"/>
      <c r="K39" s="5"/>
    </row>
    <row r="40" spans="1:11" x14ac:dyDescent="0.2">
      <c r="A40" s="6" t="s">
        <v>33</v>
      </c>
      <c r="B40" s="5"/>
      <c r="C40" s="5"/>
      <c r="D40" s="5"/>
      <c r="E40" s="5"/>
      <c r="F40" s="5"/>
      <c r="G40" s="5"/>
      <c r="H40" s="5"/>
      <c r="I40" s="5"/>
      <c r="J40" s="5"/>
      <c r="K40" s="5"/>
    </row>
    <row r="41" spans="1:11" x14ac:dyDescent="0.2">
      <c r="A41" s="15" t="s">
        <v>42</v>
      </c>
      <c r="B41" s="5">
        <v>2</v>
      </c>
      <c r="C41" s="5">
        <f>+($E$45*1.41)/(3^0.7)</f>
        <v>18713.136612148195</v>
      </c>
      <c r="D41" s="5">
        <f>+D51</f>
        <v>20027.1075007076</v>
      </c>
      <c r="E41" s="5"/>
      <c r="F41" s="5"/>
      <c r="G41" s="5"/>
      <c r="H41" s="5"/>
      <c r="I41" s="5"/>
      <c r="J41" s="5"/>
      <c r="K41" s="5"/>
    </row>
    <row r="42" spans="1:11" x14ac:dyDescent="0.2">
      <c r="A42" s="15" t="s">
        <v>43</v>
      </c>
      <c r="B42" s="5">
        <v>2</v>
      </c>
      <c r="C42" s="5">
        <f>+($E$45*1.41)/(3^0.7)</f>
        <v>18713.136612148195</v>
      </c>
      <c r="D42" s="5">
        <f>+D51</f>
        <v>20027.1075007076</v>
      </c>
      <c r="E42" s="5"/>
      <c r="F42" s="5"/>
      <c r="G42" s="5"/>
      <c r="H42" s="5"/>
      <c r="I42" s="5"/>
      <c r="J42" s="5"/>
      <c r="K42" s="5"/>
    </row>
    <row r="43" spans="1:11" x14ac:dyDescent="0.2">
      <c r="A43" s="6" t="s">
        <v>21</v>
      </c>
      <c r="B43" s="4"/>
      <c r="C43" s="5"/>
      <c r="D43" s="5"/>
      <c r="E43" s="5"/>
      <c r="F43" s="5"/>
      <c r="G43" s="5"/>
      <c r="H43" s="5"/>
      <c r="I43" s="5"/>
      <c r="J43" s="5"/>
      <c r="K43" s="5"/>
    </row>
    <row r="44" spans="1:11" x14ac:dyDescent="0.2">
      <c r="A44" s="15" t="s">
        <v>34</v>
      </c>
      <c r="B44" s="5">
        <v>3</v>
      </c>
      <c r="C44" s="5">
        <f>+$E$45*((3^0.7)/3^0.7)</f>
        <v>28636</v>
      </c>
      <c r="D44" s="5">
        <f t="shared" ref="D44:F49" si="2">+(((($B44-D$10)+0.5*D$10)^0.7)/(3^0.7))*$E$45</f>
        <v>25204.929180188828</v>
      </c>
      <c r="E44" s="5"/>
      <c r="F44" s="5"/>
      <c r="G44" s="5"/>
      <c r="H44" s="5"/>
      <c r="I44" s="5"/>
      <c r="J44" s="5"/>
      <c r="K44" s="5"/>
    </row>
    <row r="45" spans="1:11" x14ac:dyDescent="0.2">
      <c r="A45" s="15" t="s">
        <v>35</v>
      </c>
      <c r="B45" s="5">
        <v>4</v>
      </c>
      <c r="C45" s="5">
        <f>+$E$45*((4^0.7)/3^0.7)</f>
        <v>35024.300418586419</v>
      </c>
      <c r="D45" s="5">
        <f t="shared" si="2"/>
        <v>31898.855883066622</v>
      </c>
      <c r="E45" s="7">
        <f>+Main!E8</f>
        <v>28636</v>
      </c>
      <c r="F45" s="5"/>
      <c r="G45" s="5"/>
      <c r="H45" s="5"/>
      <c r="I45" s="5"/>
      <c r="J45" s="5"/>
      <c r="K45" s="5"/>
    </row>
    <row r="46" spans="1:11" x14ac:dyDescent="0.2">
      <c r="A46" s="15" t="s">
        <v>36</v>
      </c>
      <c r="B46" s="5">
        <v>5</v>
      </c>
      <c r="C46" s="5">
        <f>+$E$45*((5^0.7)/3^0.7)</f>
        <v>40945.52825319516</v>
      </c>
      <c r="D46" s="5">
        <f t="shared" si="2"/>
        <v>38034.370707017311</v>
      </c>
      <c r="E46" s="5">
        <f t="shared" si="2"/>
        <v>35024.300418586419</v>
      </c>
      <c r="F46" s="5">
        <f t="shared" si="2"/>
        <v>31898.855883066622</v>
      </c>
      <c r="G46" s="5"/>
      <c r="H46" s="5"/>
      <c r="I46" s="5"/>
      <c r="J46" s="5"/>
      <c r="K46" s="5"/>
    </row>
    <row r="47" spans="1:11" x14ac:dyDescent="0.2">
      <c r="A47" s="15" t="s">
        <v>37</v>
      </c>
      <c r="B47" s="5">
        <v>6</v>
      </c>
      <c r="C47" s="5">
        <f>+$E$45*((6^0.7)/3^0.7)</f>
        <v>46519.319244114311</v>
      </c>
      <c r="D47" s="5">
        <f t="shared" si="2"/>
        <v>43770.484923090844</v>
      </c>
      <c r="E47" s="5">
        <f t="shared" si="2"/>
        <v>40945.52825319516</v>
      </c>
      <c r="F47" s="5">
        <f t="shared" si="2"/>
        <v>38034.370707017311</v>
      </c>
      <c r="G47" s="5">
        <f>+(((($B47-G$10)+0.5*G$10)^0.7)/(3^0.7))*$E$45</f>
        <v>35024.300418586419</v>
      </c>
      <c r="H47" s="5"/>
      <c r="I47" s="5"/>
      <c r="J47" s="5"/>
      <c r="K47" s="5"/>
    </row>
    <row r="48" spans="1:11" x14ac:dyDescent="0.2">
      <c r="A48" s="15" t="s">
        <v>38</v>
      </c>
      <c r="B48" s="5">
        <v>7</v>
      </c>
      <c r="C48" s="5">
        <f>+$E$45*((7^0.7)/3^0.7)</f>
        <v>51819.844264086118</v>
      </c>
      <c r="D48" s="5">
        <f t="shared" si="2"/>
        <v>49200.195117703275</v>
      </c>
      <c r="E48" s="5">
        <f t="shared" si="2"/>
        <v>46519.319244114311</v>
      </c>
      <c r="F48" s="5">
        <f t="shared" si="2"/>
        <v>43770.484923090844</v>
      </c>
      <c r="G48" s="5">
        <f>+(((($B48-G$10)+0.5*G$10)^0.7)/(3^0.7))*$E$45</f>
        <v>40945.52825319516</v>
      </c>
      <c r="H48" s="5">
        <f>+(((($B48-H$10)+0.5*H$10)^0.7)/(3^0.7))*$E$45</f>
        <v>38034.370707017311</v>
      </c>
      <c r="I48" s="5"/>
      <c r="J48" s="5"/>
      <c r="K48" s="5"/>
    </row>
    <row r="49" spans="1:11" x14ac:dyDescent="0.2">
      <c r="A49" s="15" t="s">
        <v>39</v>
      </c>
      <c r="B49" s="5">
        <v>8</v>
      </c>
      <c r="C49" s="5">
        <f>+$E$45*((8^0.7)/3^0.7)</f>
        <v>56897.143891395033</v>
      </c>
      <c r="D49" s="5">
        <f t="shared" si="2"/>
        <v>54383.901396028647</v>
      </c>
      <c r="E49" s="5">
        <f t="shared" si="2"/>
        <v>51819.844264086118</v>
      </c>
      <c r="F49" s="5">
        <f t="shared" si="2"/>
        <v>49200.195117703275</v>
      </c>
      <c r="G49" s="5">
        <f>+(((($B49-G$10)+0.5*G$10)^0.7)/(3^0.7))*$E$45</f>
        <v>46519.319244114311</v>
      </c>
      <c r="H49" s="5">
        <f>+(((($B49-H$10)+0.5*H$10)^0.7)/(3^0.7))*$E$45</f>
        <v>43770.484923090844</v>
      </c>
      <c r="I49" s="5">
        <f>+(((($B49-I$10)+0.5*I$10)^0.7)/(3^0.7))*$E$45</f>
        <v>40945.52825319516</v>
      </c>
      <c r="J49" s="5"/>
      <c r="K49" s="5"/>
    </row>
    <row r="50" spans="1:11" x14ac:dyDescent="0.2">
      <c r="A50" s="6" t="s">
        <v>22</v>
      </c>
      <c r="B50" s="5"/>
      <c r="C50" s="5"/>
      <c r="D50" s="5"/>
      <c r="E50" s="5"/>
      <c r="F50" s="5"/>
      <c r="G50" s="5"/>
      <c r="H50" s="5"/>
      <c r="I50" s="5"/>
      <c r="J50" s="5"/>
      <c r="K50" s="5"/>
    </row>
    <row r="51" spans="1:11" x14ac:dyDescent="0.2">
      <c r="A51" s="4" t="s">
        <v>23</v>
      </c>
      <c r="B51" s="5"/>
      <c r="C51" s="5"/>
      <c r="D51" s="5">
        <f>+((1.8^0.7)/(3^0.7))*$E$45</f>
        <v>20027.1075007076</v>
      </c>
      <c r="E51" s="5">
        <f t="shared" ref="E51:K51" si="3">+(((1.8+0.5*(E$10-1))^0.7)/(3^0.7))*$E$45</f>
        <v>23775.899736474315</v>
      </c>
      <c r="F51" s="5">
        <f t="shared" si="3"/>
        <v>27285.88832824583</v>
      </c>
      <c r="G51" s="5">
        <f t="shared" si="3"/>
        <v>30611.68483422411</v>
      </c>
      <c r="H51" s="5">
        <f t="shared" si="3"/>
        <v>33789.050901316237</v>
      </c>
      <c r="I51" s="5">
        <f t="shared" si="3"/>
        <v>36843.034634630894</v>
      </c>
      <c r="J51" s="5">
        <f t="shared" si="3"/>
        <v>39792.052563074358</v>
      </c>
      <c r="K51" s="5">
        <f t="shared" si="3"/>
        <v>42650.152086726193</v>
      </c>
    </row>
    <row r="52" spans="1:11" x14ac:dyDescent="0.2">
      <c r="A52" s="8" t="s">
        <v>24</v>
      </c>
      <c r="B52" s="9"/>
      <c r="C52" s="9"/>
      <c r="D52" s="9"/>
      <c r="E52" s="9"/>
      <c r="F52" s="9"/>
      <c r="G52" s="9"/>
      <c r="H52" s="9"/>
      <c r="I52" s="9"/>
      <c r="J52" s="9"/>
      <c r="K52" s="9"/>
    </row>
    <row r="53" spans="1:11" x14ac:dyDescent="0.2">
      <c r="A53" s="45" t="s">
        <v>25</v>
      </c>
      <c r="B53" s="45"/>
      <c r="C53" s="45"/>
      <c r="D53" s="45"/>
      <c r="E53" s="45"/>
      <c r="F53" s="45"/>
      <c r="G53" s="45"/>
      <c r="H53" s="45"/>
      <c r="I53" s="45"/>
      <c r="J53" s="45"/>
      <c r="K53" s="45"/>
    </row>
    <row r="54" spans="1:11" x14ac:dyDescent="0.2">
      <c r="A54" s="48" t="s">
        <v>3</v>
      </c>
      <c r="B54" s="48"/>
      <c r="C54" s="48"/>
      <c r="D54" s="48"/>
      <c r="E54" s="48"/>
      <c r="F54" s="48"/>
      <c r="G54" s="48"/>
      <c r="H54" s="48"/>
      <c r="I54" s="48"/>
      <c r="J54" s="48"/>
      <c r="K54" s="48"/>
    </row>
    <row r="55" spans="1:11" x14ac:dyDescent="0.2">
      <c r="A55" s="30" t="s">
        <v>29</v>
      </c>
      <c r="B55" s="34" t="s">
        <v>30</v>
      </c>
      <c r="C55" s="37" t="s">
        <v>28</v>
      </c>
      <c r="D55" s="38"/>
      <c r="E55" s="38"/>
      <c r="F55" s="38"/>
      <c r="G55" s="38"/>
      <c r="H55" s="38"/>
      <c r="I55" s="38"/>
      <c r="J55" s="38"/>
      <c r="K55" s="39"/>
    </row>
    <row r="56" spans="1:11" x14ac:dyDescent="0.2">
      <c r="A56" s="31"/>
      <c r="B56" s="35"/>
      <c r="C56" s="40"/>
      <c r="D56" s="41"/>
      <c r="E56" s="41"/>
      <c r="F56" s="41"/>
      <c r="G56" s="41"/>
      <c r="H56" s="41"/>
      <c r="I56" s="41"/>
      <c r="J56" s="41"/>
      <c r="K56" s="42"/>
    </row>
    <row r="57" spans="1:11" x14ac:dyDescent="0.2">
      <c r="A57" s="31"/>
      <c r="B57" s="35"/>
      <c r="C57" s="33" t="s">
        <v>13</v>
      </c>
      <c r="D57" s="33" t="s">
        <v>14</v>
      </c>
      <c r="E57" s="33" t="s">
        <v>15</v>
      </c>
      <c r="F57" s="33" t="s">
        <v>16</v>
      </c>
      <c r="G57" s="33" t="s">
        <v>17</v>
      </c>
      <c r="H57" s="33" t="s">
        <v>18</v>
      </c>
      <c r="I57" s="33" t="s">
        <v>19</v>
      </c>
      <c r="J57" s="33" t="s">
        <v>20</v>
      </c>
      <c r="K57" s="33" t="s">
        <v>12</v>
      </c>
    </row>
    <row r="58" spans="1:11" x14ac:dyDescent="0.2">
      <c r="A58" s="31"/>
      <c r="B58" s="35"/>
      <c r="C58" s="31"/>
      <c r="D58" s="31"/>
      <c r="E58" s="31"/>
      <c r="F58" s="31"/>
      <c r="G58" s="31"/>
      <c r="H58" s="31"/>
      <c r="I58" s="31"/>
      <c r="J58" s="31"/>
      <c r="K58" s="31"/>
    </row>
    <row r="59" spans="1:11" x14ac:dyDescent="0.2">
      <c r="A59" s="32"/>
      <c r="B59" s="36"/>
      <c r="C59" s="32"/>
      <c r="D59" s="32"/>
      <c r="E59" s="32"/>
      <c r="F59" s="32"/>
      <c r="G59" s="32"/>
      <c r="H59" s="32"/>
      <c r="I59" s="32"/>
      <c r="J59" s="32"/>
      <c r="K59" s="32"/>
    </row>
    <row r="60" spans="1:11" x14ac:dyDescent="0.2">
      <c r="A60" s="4"/>
      <c r="B60" s="4"/>
      <c r="C60" s="4"/>
      <c r="D60" s="4">
        <v>1</v>
      </c>
      <c r="E60" s="4">
        <v>2</v>
      </c>
      <c r="F60" s="4">
        <v>3</v>
      </c>
      <c r="G60" s="4">
        <v>4</v>
      </c>
      <c r="H60" s="4">
        <v>5</v>
      </c>
      <c r="I60" s="4">
        <v>6</v>
      </c>
      <c r="J60" s="4">
        <v>7</v>
      </c>
      <c r="K60" s="4">
        <v>8</v>
      </c>
    </row>
    <row r="61" spans="1:11" x14ac:dyDescent="0.2">
      <c r="A61" s="6" t="s">
        <v>32</v>
      </c>
      <c r="B61" s="5"/>
      <c r="C61" s="4"/>
      <c r="D61" s="4"/>
      <c r="E61" s="4"/>
      <c r="F61" s="4"/>
      <c r="G61" s="4"/>
      <c r="H61" s="4"/>
      <c r="I61" s="4"/>
      <c r="J61" s="4"/>
      <c r="K61" s="4"/>
    </row>
    <row r="62" spans="1:11" x14ac:dyDescent="0.2">
      <c r="A62" s="15" t="s">
        <v>40</v>
      </c>
      <c r="B62" s="5">
        <v>1</v>
      </c>
      <c r="C62" s="5">
        <f>+((1^0.7)/(3^0.7))*$E$70</f>
        <v>15647.903185792014</v>
      </c>
      <c r="D62" s="5"/>
      <c r="E62" s="5"/>
      <c r="F62" s="5"/>
      <c r="G62" s="5"/>
      <c r="H62" s="5"/>
      <c r="I62" s="5"/>
      <c r="J62" s="5"/>
      <c r="K62" s="5"/>
    </row>
    <row r="63" spans="1:11" x14ac:dyDescent="0.2">
      <c r="A63" s="15" t="s">
        <v>41</v>
      </c>
      <c r="B63" s="5">
        <v>1</v>
      </c>
      <c r="C63" s="5">
        <f>+((1^0.7)/(3^0.7))*$E$70</f>
        <v>15647.903185792014</v>
      </c>
      <c r="D63" s="5"/>
      <c r="E63" s="5"/>
      <c r="F63" s="5"/>
      <c r="G63" s="5"/>
      <c r="H63" s="5"/>
      <c r="I63" s="5"/>
      <c r="J63" s="5"/>
      <c r="K63" s="5"/>
    </row>
    <row r="64" spans="1:11" x14ac:dyDescent="0.2">
      <c r="A64" s="4"/>
      <c r="B64" s="4"/>
      <c r="C64" s="5"/>
      <c r="D64" s="5"/>
      <c r="E64" s="5"/>
      <c r="F64" s="5"/>
      <c r="G64" s="5"/>
      <c r="H64" s="5"/>
      <c r="I64" s="5"/>
      <c r="J64" s="5"/>
      <c r="K64" s="5"/>
    </row>
    <row r="65" spans="1:12" x14ac:dyDescent="0.2">
      <c r="A65" s="6" t="s">
        <v>33</v>
      </c>
      <c r="B65" s="5"/>
      <c r="C65" s="5"/>
      <c r="D65" s="5"/>
      <c r="E65" s="5"/>
      <c r="F65" s="5"/>
      <c r="G65" s="5"/>
      <c r="H65" s="5"/>
      <c r="I65" s="5"/>
      <c r="J65" s="5"/>
      <c r="K65" s="5"/>
    </row>
    <row r="66" spans="1:12" x14ac:dyDescent="0.2">
      <c r="A66" s="15" t="s">
        <v>42</v>
      </c>
      <c r="B66" s="5">
        <v>2</v>
      </c>
      <c r="C66" s="5">
        <f>+($E$70*1.41)/(3^0.7)</f>
        <v>22063.543491966739</v>
      </c>
      <c r="D66" s="5">
        <f>+D76</f>
        <v>23612.768212962383</v>
      </c>
      <c r="E66" s="5"/>
      <c r="F66" s="5"/>
      <c r="G66" s="5"/>
      <c r="H66" s="5"/>
      <c r="I66" s="5"/>
      <c r="J66" s="5"/>
      <c r="K66" s="5"/>
    </row>
    <row r="67" spans="1:12" x14ac:dyDescent="0.2">
      <c r="A67" s="15" t="s">
        <v>43</v>
      </c>
      <c r="B67" s="5">
        <v>2</v>
      </c>
      <c r="C67" s="5">
        <f>+($E$70*1.41)/(3^0.7)</f>
        <v>22063.543491966739</v>
      </c>
      <c r="D67" s="5">
        <f>+D76</f>
        <v>23612.768212962383</v>
      </c>
      <c r="E67" s="5"/>
      <c r="F67" s="5"/>
      <c r="G67" s="5"/>
      <c r="H67" s="5"/>
      <c r="I67" s="5"/>
      <c r="J67" s="5"/>
      <c r="K67" s="5"/>
    </row>
    <row r="68" spans="1:12" x14ac:dyDescent="0.2">
      <c r="A68" s="6" t="s">
        <v>21</v>
      </c>
      <c r="B68" s="4"/>
      <c r="C68" s="5"/>
      <c r="D68" s="5"/>
      <c r="E68" s="5"/>
      <c r="F68" s="5"/>
      <c r="G68" s="5"/>
      <c r="H68" s="5"/>
      <c r="I68" s="5"/>
      <c r="J68" s="5"/>
      <c r="K68" s="5"/>
    </row>
    <row r="69" spans="1:12" x14ac:dyDescent="0.2">
      <c r="A69" s="15" t="s">
        <v>34</v>
      </c>
      <c r="B69" s="5">
        <v>3</v>
      </c>
      <c r="C69" s="5">
        <f>+$E$70*((3^0.7)/3^0.7)</f>
        <v>33763</v>
      </c>
      <c r="D69" s="5">
        <f t="shared" ref="D69:F74" si="4">+(((($B69-D$10)+0.5*D$10)^0.7)/(3^0.7))*$E$70</f>
        <v>29717.62899534556</v>
      </c>
      <c r="E69" s="5"/>
      <c r="F69" s="5"/>
      <c r="G69" s="5"/>
      <c r="H69" s="5"/>
      <c r="I69" s="5"/>
      <c r="J69" s="5"/>
      <c r="K69" s="5"/>
    </row>
    <row r="70" spans="1:12" x14ac:dyDescent="0.2">
      <c r="A70" s="15" t="s">
        <v>35</v>
      </c>
      <c r="B70" s="5">
        <v>4</v>
      </c>
      <c r="C70" s="5">
        <f>+$E$70*((4^0.7)/3^0.7)</f>
        <v>41295.064081321871</v>
      </c>
      <c r="D70" s="5">
        <f t="shared" si="4"/>
        <v>37610.0388036031</v>
      </c>
      <c r="E70" s="7">
        <f>+Main!F8</f>
        <v>33763</v>
      </c>
      <c r="F70" s="5"/>
      <c r="G70" s="5"/>
      <c r="H70" s="5"/>
      <c r="I70" s="5"/>
      <c r="J70" s="5"/>
      <c r="K70" s="5"/>
    </row>
    <row r="71" spans="1:12" x14ac:dyDescent="0.2">
      <c r="A71" s="15" t="s">
        <v>36</v>
      </c>
      <c r="B71" s="5">
        <v>5</v>
      </c>
      <c r="C71" s="5">
        <f>+$E$70*((5^0.7)/3^0.7)</f>
        <v>48276.430730989952</v>
      </c>
      <c r="D71" s="5">
        <f t="shared" si="4"/>
        <v>44844.058464206784</v>
      </c>
      <c r="E71" s="5">
        <f t="shared" si="4"/>
        <v>41295.064081321871</v>
      </c>
      <c r="F71" s="5">
        <f t="shared" si="4"/>
        <v>37610.0388036031</v>
      </c>
      <c r="G71" s="5"/>
      <c r="H71" s="5"/>
      <c r="I71" s="5"/>
      <c r="J71" s="5"/>
      <c r="K71" s="5"/>
    </row>
    <row r="72" spans="1:12" x14ac:dyDescent="0.2">
      <c r="A72" s="15" t="s">
        <v>37</v>
      </c>
      <c r="B72" s="5">
        <v>6</v>
      </c>
      <c r="C72" s="5">
        <f>+$E$70*((6^0.7)/3^0.7)</f>
        <v>54848.155316351149</v>
      </c>
      <c r="D72" s="5">
        <f t="shared" si="4"/>
        <v>51607.16868481339</v>
      </c>
      <c r="E72" s="5">
        <f t="shared" si="4"/>
        <v>48276.430730989952</v>
      </c>
      <c r="F72" s="5">
        <f t="shared" si="4"/>
        <v>44844.058464206784</v>
      </c>
      <c r="G72" s="5">
        <f>+(((($B72-G$10)+0.5*G$10)^0.7)/(3^0.7))*$E$70</f>
        <v>41295.064081321871</v>
      </c>
      <c r="H72" s="5"/>
      <c r="I72" s="5"/>
      <c r="J72" s="5"/>
      <c r="K72" s="5"/>
    </row>
    <row r="73" spans="1:12" x14ac:dyDescent="0.2">
      <c r="A73" s="15" t="s">
        <v>38</v>
      </c>
      <c r="B73" s="5">
        <v>7</v>
      </c>
      <c r="C73" s="5">
        <f>+$E$70*((7^0.7)/3^0.7)</f>
        <v>61097.688290555234</v>
      </c>
      <c r="D73" s="5">
        <f t="shared" si="4"/>
        <v>58009.016194964926</v>
      </c>
      <c r="E73" s="5">
        <f t="shared" si="4"/>
        <v>54848.155316351149</v>
      </c>
      <c r="F73" s="5">
        <f t="shared" si="4"/>
        <v>51607.16868481339</v>
      </c>
      <c r="G73" s="5">
        <f>+(((($B73-G$10)+0.5*G$10)^0.7)/(3^0.7))*$E$70</f>
        <v>48276.430730989952</v>
      </c>
      <c r="H73" s="5">
        <f>+(((($B73-H$10)+0.5*H$10)^0.7)/(3^0.7))*$E$70</f>
        <v>44844.058464206784</v>
      </c>
      <c r="I73" s="5"/>
      <c r="J73" s="5"/>
      <c r="K73" s="5"/>
    </row>
    <row r="74" spans="1:12" x14ac:dyDescent="0.2">
      <c r="A74" s="15" t="s">
        <v>39</v>
      </c>
      <c r="B74" s="5">
        <v>8</v>
      </c>
      <c r="C74" s="5">
        <f>+$E$70*((8^0.7)/3^0.7)</f>
        <v>67084.029515475995</v>
      </c>
      <c r="D74" s="5">
        <f t="shared" si="4"/>
        <v>64120.815156939345</v>
      </c>
      <c r="E74" s="5">
        <f t="shared" si="4"/>
        <v>61097.688290555234</v>
      </c>
      <c r="F74" s="5">
        <f t="shared" si="4"/>
        <v>58009.016194964926</v>
      </c>
      <c r="G74" s="5">
        <f>+(((($B74-G$10)+0.5*G$10)^0.7)/(3^0.7))*$E$70</f>
        <v>54848.155316351149</v>
      </c>
      <c r="H74" s="5">
        <f>+(((($B74-H$10)+0.5*H$10)^0.7)/(3^0.7))*$E$70</f>
        <v>51607.16868481339</v>
      </c>
      <c r="I74" s="5">
        <f>+(((($B74-I$10)+0.5*I$10)^0.7)/(3^0.7))*$E$70</f>
        <v>48276.430730989952</v>
      </c>
      <c r="J74" s="5"/>
      <c r="K74" s="5"/>
    </row>
    <row r="75" spans="1:12" x14ac:dyDescent="0.2">
      <c r="A75" s="6" t="s">
        <v>22</v>
      </c>
      <c r="B75" s="5"/>
      <c r="C75" s="5"/>
      <c r="D75" s="5"/>
      <c r="E75" s="5"/>
      <c r="F75" s="5"/>
      <c r="G75" s="5"/>
      <c r="H75" s="5"/>
      <c r="I75" s="5"/>
      <c r="J75" s="5"/>
      <c r="K75" s="5"/>
    </row>
    <row r="76" spans="1:12" x14ac:dyDescent="0.2">
      <c r="A76" s="4" t="s">
        <v>23</v>
      </c>
      <c r="B76" s="5"/>
      <c r="C76" s="5"/>
      <c r="D76" s="5">
        <f>+((1.8^0.7)/(3^0.7))*$E$70</f>
        <v>23612.768212962383</v>
      </c>
      <c r="E76" s="5">
        <f t="shared" ref="E76:K76" si="5">+(((1.8+0.5*(E$10-1))^0.7)/(3^0.7))*$E$70</f>
        <v>28032.745593050087</v>
      </c>
      <c r="F76" s="5">
        <f t="shared" si="5"/>
        <v>32171.163836658889</v>
      </c>
      <c r="G76" s="5">
        <f t="shared" si="5"/>
        <v>36092.412175510151</v>
      </c>
      <c r="H76" s="5">
        <f t="shared" si="5"/>
        <v>39838.655034960895</v>
      </c>
      <c r="I76" s="5">
        <f t="shared" si="5"/>
        <v>43439.425142095359</v>
      </c>
      <c r="J76" s="5">
        <f t="shared" si="5"/>
        <v>46916.436327946627</v>
      </c>
      <c r="K76" s="5">
        <f t="shared" si="5"/>
        <v>50286.251044284691</v>
      </c>
    </row>
    <row r="77" spans="1:12" x14ac:dyDescent="0.2">
      <c r="A77" s="8" t="s">
        <v>24</v>
      </c>
      <c r="B77" s="9"/>
      <c r="C77" s="9"/>
      <c r="D77" s="9"/>
      <c r="E77" s="9"/>
      <c r="F77" s="9"/>
      <c r="G77" s="9"/>
      <c r="H77" s="9"/>
      <c r="I77" s="9"/>
      <c r="J77" s="9"/>
      <c r="K77" s="9"/>
    </row>
    <row r="78" spans="1:12" x14ac:dyDescent="0.2">
      <c r="A78" s="45" t="s">
        <v>25</v>
      </c>
      <c r="B78" s="45"/>
      <c r="C78" s="45"/>
      <c r="D78" s="45"/>
      <c r="E78" s="45"/>
      <c r="F78" s="45"/>
      <c r="G78" s="45"/>
      <c r="H78" s="45"/>
      <c r="I78" s="45"/>
      <c r="J78" s="45"/>
      <c r="K78" s="45"/>
    </row>
    <row r="79" spans="1:12" x14ac:dyDescent="0.2">
      <c r="A79" s="16"/>
      <c r="B79" s="16"/>
      <c r="C79" s="16"/>
      <c r="D79" s="16"/>
      <c r="E79" s="16"/>
      <c r="F79" s="16"/>
      <c r="G79" s="16"/>
      <c r="H79" s="16"/>
      <c r="I79" s="16"/>
      <c r="J79" s="16"/>
      <c r="K79" s="16"/>
      <c r="L79" s="10"/>
    </row>
    <row r="80" spans="1:12" ht="15" x14ac:dyDescent="0.25">
      <c r="A80" t="s">
        <v>388</v>
      </c>
    </row>
  </sheetData>
  <mergeCells count="45">
    <mergeCell ref="A78:K78"/>
    <mergeCell ref="F57:F59"/>
    <mergeCell ref="G57:G59"/>
    <mergeCell ref="H57:H59"/>
    <mergeCell ref="I57:I59"/>
    <mergeCell ref="C57:C59"/>
    <mergeCell ref="D57:D59"/>
    <mergeCell ref="E57:E59"/>
    <mergeCell ref="B30:B34"/>
    <mergeCell ref="C30:K31"/>
    <mergeCell ref="C32:C34"/>
    <mergeCell ref="D32:D34"/>
    <mergeCell ref="E32:E34"/>
    <mergeCell ref="A1:K1"/>
    <mergeCell ref="J57:J59"/>
    <mergeCell ref="K57:K59"/>
    <mergeCell ref="A2:E2"/>
    <mergeCell ref="A28:K28"/>
    <mergeCell ref="A53:K53"/>
    <mergeCell ref="G32:G34"/>
    <mergeCell ref="H32:H34"/>
    <mergeCell ref="I32:I34"/>
    <mergeCell ref="A3:K3"/>
    <mergeCell ref="A4:K4"/>
    <mergeCell ref="A29:K29"/>
    <mergeCell ref="A54:K54"/>
    <mergeCell ref="A55:A59"/>
    <mergeCell ref="B55:B59"/>
    <mergeCell ref="C55:K56"/>
    <mergeCell ref="A30:A34"/>
    <mergeCell ref="J32:J34"/>
    <mergeCell ref="K32:K34"/>
    <mergeCell ref="H7:H9"/>
    <mergeCell ref="I7:I9"/>
    <mergeCell ref="J7:J9"/>
    <mergeCell ref="K7:K9"/>
    <mergeCell ref="F32:F34"/>
    <mergeCell ref="A5:A9"/>
    <mergeCell ref="B5:B9"/>
    <mergeCell ref="C5:K6"/>
    <mergeCell ref="C7:C9"/>
    <mergeCell ref="D7:D9"/>
    <mergeCell ref="E7:E9"/>
    <mergeCell ref="F7:F9"/>
    <mergeCell ref="G7:G9"/>
  </mergeCells>
  <pageMargins left="0.2" right="0.23" top="1" bottom="1" header="0.5" footer="0.5"/>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83"/>
  <sheetViews>
    <sheetView showGridLines="0" workbookViewId="0">
      <selection activeCell="A2" sqref="A2"/>
    </sheetView>
  </sheetViews>
  <sheetFormatPr defaultColWidth="9.140625" defaultRowHeight="15" x14ac:dyDescent="0.25"/>
  <cols>
    <col min="1" max="1" width="15" style="11" bestFit="1" customWidth="1"/>
    <col min="2" max="2" width="50" style="11" customWidth="1"/>
    <col min="3" max="3" width="10" style="11" bestFit="1" customWidth="1"/>
    <col min="4" max="4" width="12.7109375" style="11" customWidth="1"/>
    <col min="5" max="5" width="13.140625" style="11" customWidth="1"/>
    <col min="6" max="6" width="13.42578125" style="11" customWidth="1"/>
    <col min="7" max="16384" width="9.140625" style="11"/>
  </cols>
  <sheetData>
    <row r="1" spans="1:9" ht="101.25" customHeight="1" x14ac:dyDescent="0.25">
      <c r="A1" s="49" t="s">
        <v>391</v>
      </c>
      <c r="B1" s="50"/>
      <c r="C1" s="21" t="s">
        <v>0</v>
      </c>
      <c r="D1" s="21" t="s">
        <v>1</v>
      </c>
      <c r="E1" s="21" t="s">
        <v>2</v>
      </c>
      <c r="F1" s="21" t="s">
        <v>3</v>
      </c>
    </row>
    <row r="2" spans="1:9" ht="20.25" customHeight="1" x14ac:dyDescent="0.25">
      <c r="A2" s="22"/>
      <c r="B2" s="22" t="s">
        <v>384</v>
      </c>
      <c r="C2" s="21"/>
      <c r="D2" s="24">
        <v>36915</v>
      </c>
      <c r="E2" s="23">
        <v>30870</v>
      </c>
      <c r="F2" s="23">
        <v>37482</v>
      </c>
    </row>
    <row r="3" spans="1:9" x14ac:dyDescent="0.25">
      <c r="A3" s="27">
        <v>1002</v>
      </c>
      <c r="B3" s="25" t="s">
        <v>45</v>
      </c>
      <c r="C3" s="26">
        <v>0.56499999999999995</v>
      </c>
      <c r="D3" s="24">
        <f>ROUND((+$C3*D$2*0.434+(1-0.434)*D$2),0)</f>
        <v>29946</v>
      </c>
      <c r="E3" s="23">
        <f>ROUND((+$C3*E$2*0.323+(1-0.323)*E$2),0)</f>
        <v>26533</v>
      </c>
      <c r="F3" s="23">
        <f>ROUND((+$C3*F$2*0.443+(1-0.443)*F$2),0)</f>
        <v>30259</v>
      </c>
      <c r="G3"/>
      <c r="H3"/>
      <c r="I3"/>
    </row>
    <row r="4" spans="1:9" x14ac:dyDescent="0.25">
      <c r="A4" s="27">
        <v>2001</v>
      </c>
      <c r="B4" s="25" t="s">
        <v>46</v>
      </c>
      <c r="C4" s="26">
        <v>1.085</v>
      </c>
      <c r="D4" s="24">
        <f t="shared" ref="D4:D67" si="0">ROUND((+$C4*D$2*0.434+(1-0.434)*D$2),0)</f>
        <v>38277</v>
      </c>
      <c r="E4" s="23">
        <f t="shared" ref="E4:E67" si="1">ROUND((+$C4*E$2*0.323+(1-0.323)*E$2),0)</f>
        <v>31718</v>
      </c>
      <c r="F4" s="23">
        <f t="shared" ref="F4:F67" si="2">ROUND((+$C4*F$2*0.443+(1-0.443)*F$2),0)</f>
        <v>38893</v>
      </c>
      <c r="G4"/>
      <c r="H4"/>
      <c r="I4"/>
    </row>
    <row r="5" spans="1:9" x14ac:dyDescent="0.25">
      <c r="A5" s="27">
        <v>2002</v>
      </c>
      <c r="B5" s="25" t="s">
        <v>47</v>
      </c>
      <c r="C5" s="26">
        <v>1.071</v>
      </c>
      <c r="D5" s="24">
        <f t="shared" si="0"/>
        <v>38052</v>
      </c>
      <c r="E5" s="23">
        <f t="shared" si="1"/>
        <v>31578</v>
      </c>
      <c r="F5" s="23">
        <f t="shared" si="2"/>
        <v>38661</v>
      </c>
      <c r="G5"/>
      <c r="H5"/>
      <c r="I5"/>
    </row>
    <row r="6" spans="1:9" x14ac:dyDescent="0.25">
      <c r="A6" s="27">
        <v>4001</v>
      </c>
      <c r="B6" s="25" t="s">
        <v>48</v>
      </c>
      <c r="C6" s="26">
        <v>1.089</v>
      </c>
      <c r="D6" s="24">
        <f t="shared" si="0"/>
        <v>38341</v>
      </c>
      <c r="E6" s="23">
        <f t="shared" si="1"/>
        <v>31757</v>
      </c>
      <c r="F6" s="23">
        <f t="shared" si="2"/>
        <v>38960</v>
      </c>
      <c r="G6"/>
      <c r="H6"/>
      <c r="I6"/>
    </row>
    <row r="7" spans="1:9" x14ac:dyDescent="0.25">
      <c r="A7" s="27">
        <v>4002</v>
      </c>
      <c r="B7" s="25" t="s">
        <v>49</v>
      </c>
      <c r="C7" s="26">
        <v>0.58799999999999997</v>
      </c>
      <c r="D7" s="24">
        <f t="shared" si="0"/>
        <v>30314</v>
      </c>
      <c r="E7" s="23">
        <f t="shared" si="1"/>
        <v>26762</v>
      </c>
      <c r="F7" s="23">
        <f t="shared" si="2"/>
        <v>30641</v>
      </c>
      <c r="G7"/>
      <c r="H7"/>
      <c r="I7"/>
    </row>
    <row r="8" spans="1:9" x14ac:dyDescent="0.25">
      <c r="A8" s="27">
        <v>5001</v>
      </c>
      <c r="B8" s="25" t="s">
        <v>50</v>
      </c>
      <c r="C8" s="26">
        <v>0.67700000000000005</v>
      </c>
      <c r="D8" s="24">
        <f t="shared" si="0"/>
        <v>31740</v>
      </c>
      <c r="E8" s="23">
        <f t="shared" si="1"/>
        <v>27649</v>
      </c>
      <c r="F8" s="23">
        <f t="shared" si="2"/>
        <v>32119</v>
      </c>
      <c r="G8"/>
      <c r="H8"/>
      <c r="I8"/>
    </row>
    <row r="9" spans="1:9" x14ac:dyDescent="0.25">
      <c r="A9" s="27">
        <v>5002</v>
      </c>
      <c r="B9" s="25" t="s">
        <v>51</v>
      </c>
      <c r="C9" s="26">
        <v>0.59399999999999997</v>
      </c>
      <c r="D9" s="24">
        <f t="shared" si="0"/>
        <v>30410</v>
      </c>
      <c r="E9" s="23">
        <f t="shared" si="1"/>
        <v>26822</v>
      </c>
      <c r="F9" s="23">
        <f t="shared" si="2"/>
        <v>30741</v>
      </c>
      <c r="G9"/>
      <c r="H9"/>
      <c r="I9"/>
    </row>
    <row r="10" spans="1:9" x14ac:dyDescent="0.25">
      <c r="A10" s="27">
        <v>6002</v>
      </c>
      <c r="B10" s="25" t="s">
        <v>52</v>
      </c>
      <c r="C10" s="26">
        <v>0.95899999999999996</v>
      </c>
      <c r="D10" s="24">
        <f t="shared" si="0"/>
        <v>36258</v>
      </c>
      <c r="E10" s="23">
        <f t="shared" si="1"/>
        <v>30461</v>
      </c>
      <c r="F10" s="23">
        <f t="shared" si="2"/>
        <v>36801</v>
      </c>
      <c r="G10"/>
      <c r="H10"/>
      <c r="I10"/>
    </row>
    <row r="11" spans="1:9" x14ac:dyDescent="0.25">
      <c r="A11" s="27">
        <v>8002</v>
      </c>
      <c r="B11" s="25" t="s">
        <v>53</v>
      </c>
      <c r="C11" s="26">
        <v>0.89700000000000002</v>
      </c>
      <c r="D11" s="24">
        <f t="shared" si="0"/>
        <v>35265</v>
      </c>
      <c r="E11" s="23">
        <f t="shared" si="1"/>
        <v>29843</v>
      </c>
      <c r="F11" s="23">
        <f t="shared" si="2"/>
        <v>35772</v>
      </c>
      <c r="G11"/>
      <c r="H11"/>
      <c r="I11"/>
    </row>
    <row r="12" spans="1:9" x14ac:dyDescent="0.25">
      <c r="A12" s="27">
        <v>9002</v>
      </c>
      <c r="B12" s="25" t="s">
        <v>54</v>
      </c>
      <c r="C12" s="26">
        <v>0.98899999999999999</v>
      </c>
      <c r="D12" s="24">
        <f t="shared" si="0"/>
        <v>36739</v>
      </c>
      <c r="E12" s="23">
        <f t="shared" si="1"/>
        <v>30760</v>
      </c>
      <c r="F12" s="23">
        <f t="shared" si="2"/>
        <v>37299</v>
      </c>
      <c r="G12"/>
      <c r="H12"/>
      <c r="I12"/>
    </row>
    <row r="13" spans="1:9" x14ac:dyDescent="0.25">
      <c r="A13" s="27">
        <v>10180</v>
      </c>
      <c r="B13" s="25" t="s">
        <v>55</v>
      </c>
      <c r="C13" s="26">
        <v>0.84499999999999997</v>
      </c>
      <c r="D13" s="24">
        <f t="shared" si="0"/>
        <v>34432</v>
      </c>
      <c r="E13" s="23">
        <f t="shared" si="1"/>
        <v>29324</v>
      </c>
      <c r="F13" s="23">
        <f t="shared" si="2"/>
        <v>34908</v>
      </c>
      <c r="G13"/>
      <c r="H13"/>
      <c r="I13"/>
    </row>
    <row r="14" spans="1:9" x14ac:dyDescent="0.25">
      <c r="A14" s="27">
        <v>10420</v>
      </c>
      <c r="B14" s="25" t="s">
        <v>56</v>
      </c>
      <c r="C14" s="26">
        <v>0.77600000000000002</v>
      </c>
      <c r="D14" s="24">
        <f t="shared" si="0"/>
        <v>33326</v>
      </c>
      <c r="E14" s="23">
        <f t="shared" si="1"/>
        <v>28636</v>
      </c>
      <c r="F14" s="23">
        <f t="shared" si="2"/>
        <v>33763</v>
      </c>
      <c r="G14"/>
      <c r="H14"/>
      <c r="I14"/>
    </row>
    <row r="15" spans="1:9" x14ac:dyDescent="0.25">
      <c r="A15" s="27">
        <v>10580</v>
      </c>
      <c r="B15" s="25" t="s">
        <v>57</v>
      </c>
      <c r="C15" s="26">
        <v>0.998</v>
      </c>
      <c r="D15" s="24">
        <f t="shared" si="0"/>
        <v>36883</v>
      </c>
      <c r="E15" s="23">
        <f t="shared" si="1"/>
        <v>30850</v>
      </c>
      <c r="F15" s="23">
        <f t="shared" si="2"/>
        <v>37449</v>
      </c>
      <c r="G15"/>
      <c r="H15"/>
      <c r="I15"/>
    </row>
    <row r="16" spans="1:9" x14ac:dyDescent="0.25">
      <c r="A16" s="27">
        <v>10740</v>
      </c>
      <c r="B16" s="25" t="s">
        <v>58</v>
      </c>
      <c r="C16" s="26">
        <v>0.83099999999999996</v>
      </c>
      <c r="D16" s="24">
        <f t="shared" si="0"/>
        <v>34207</v>
      </c>
      <c r="E16" s="23">
        <f t="shared" si="1"/>
        <v>29185</v>
      </c>
      <c r="F16" s="23">
        <f t="shared" si="2"/>
        <v>34676</v>
      </c>
      <c r="G16"/>
      <c r="H16"/>
      <c r="I16"/>
    </row>
    <row r="17" spans="1:9" x14ac:dyDescent="0.25">
      <c r="A17" s="27">
        <v>10900</v>
      </c>
      <c r="B17" s="25" t="s">
        <v>59</v>
      </c>
      <c r="C17" s="26">
        <v>1.0209999999999999</v>
      </c>
      <c r="D17" s="24">
        <f t="shared" si="0"/>
        <v>37251</v>
      </c>
      <c r="E17" s="23">
        <f t="shared" si="1"/>
        <v>31079</v>
      </c>
      <c r="F17" s="23">
        <f t="shared" si="2"/>
        <v>37831</v>
      </c>
      <c r="G17"/>
      <c r="H17"/>
      <c r="I17"/>
    </row>
    <row r="18" spans="1:9" x14ac:dyDescent="0.25">
      <c r="A18" s="27">
        <v>11100</v>
      </c>
      <c r="B18" s="25" t="s">
        <v>60</v>
      </c>
      <c r="C18" s="26">
        <v>0.79200000000000004</v>
      </c>
      <c r="D18" s="24">
        <f t="shared" si="0"/>
        <v>33583</v>
      </c>
      <c r="E18" s="23">
        <f t="shared" si="1"/>
        <v>28796</v>
      </c>
      <c r="F18" s="23">
        <f t="shared" si="2"/>
        <v>34028</v>
      </c>
      <c r="G18"/>
      <c r="H18"/>
      <c r="I18"/>
    </row>
    <row r="19" spans="1:9" x14ac:dyDescent="0.25">
      <c r="A19" s="27">
        <v>11460</v>
      </c>
      <c r="B19" s="25" t="s">
        <v>61</v>
      </c>
      <c r="C19" s="26">
        <v>1.1200000000000001</v>
      </c>
      <c r="D19" s="24">
        <f t="shared" si="0"/>
        <v>38838</v>
      </c>
      <c r="E19" s="23">
        <f t="shared" si="1"/>
        <v>32067</v>
      </c>
      <c r="F19" s="23">
        <f t="shared" si="2"/>
        <v>39475</v>
      </c>
      <c r="G19"/>
      <c r="H19"/>
      <c r="I19"/>
    </row>
    <row r="20" spans="1:9" x14ac:dyDescent="0.25">
      <c r="A20" s="27">
        <v>11540</v>
      </c>
      <c r="B20" s="25" t="s">
        <v>62</v>
      </c>
      <c r="C20" s="26">
        <v>0.77</v>
      </c>
      <c r="D20" s="24">
        <f t="shared" si="0"/>
        <v>33230</v>
      </c>
      <c r="E20" s="23">
        <f t="shared" si="1"/>
        <v>28577</v>
      </c>
      <c r="F20" s="23">
        <f t="shared" si="2"/>
        <v>33663</v>
      </c>
      <c r="G20"/>
      <c r="H20"/>
      <c r="I20"/>
    </row>
    <row r="21" spans="1:9" x14ac:dyDescent="0.25">
      <c r="A21" s="27">
        <v>11700</v>
      </c>
      <c r="B21" s="25" t="s">
        <v>63</v>
      </c>
      <c r="C21" s="26">
        <v>0.86299999999999999</v>
      </c>
      <c r="D21" s="24">
        <f t="shared" si="0"/>
        <v>34720</v>
      </c>
      <c r="E21" s="23">
        <f t="shared" si="1"/>
        <v>29504</v>
      </c>
      <c r="F21" s="23">
        <f t="shared" si="2"/>
        <v>35207</v>
      </c>
      <c r="G21"/>
      <c r="H21"/>
      <c r="I21"/>
    </row>
    <row r="22" spans="1:9" x14ac:dyDescent="0.25">
      <c r="A22" s="27">
        <v>12001</v>
      </c>
      <c r="B22" s="25" t="s">
        <v>64</v>
      </c>
      <c r="C22" s="26">
        <v>0.73</v>
      </c>
      <c r="D22" s="24">
        <f t="shared" si="0"/>
        <v>32589</v>
      </c>
      <c r="E22" s="23">
        <f t="shared" si="1"/>
        <v>28178</v>
      </c>
      <c r="F22" s="23">
        <f t="shared" si="2"/>
        <v>32999</v>
      </c>
      <c r="G22"/>
      <c r="H22"/>
      <c r="I22"/>
    </row>
    <row r="23" spans="1:9" x14ac:dyDescent="0.25">
      <c r="A23" s="27">
        <v>12002</v>
      </c>
      <c r="B23" s="25" t="s">
        <v>65</v>
      </c>
      <c r="C23" s="26">
        <v>0.628</v>
      </c>
      <c r="D23" s="24">
        <f t="shared" si="0"/>
        <v>30955</v>
      </c>
      <c r="E23" s="23">
        <f t="shared" si="1"/>
        <v>27161</v>
      </c>
      <c r="F23" s="23">
        <f t="shared" si="2"/>
        <v>31305</v>
      </c>
      <c r="G23"/>
      <c r="H23"/>
      <c r="I23"/>
    </row>
    <row r="24" spans="1:9" x14ac:dyDescent="0.25">
      <c r="A24" s="27">
        <v>12020</v>
      </c>
      <c r="B24" s="25" t="s">
        <v>66</v>
      </c>
      <c r="C24" s="26">
        <v>0.80400000000000005</v>
      </c>
      <c r="D24" s="24">
        <f t="shared" si="0"/>
        <v>33775</v>
      </c>
      <c r="E24" s="23">
        <f t="shared" si="1"/>
        <v>28916</v>
      </c>
      <c r="F24" s="23">
        <f t="shared" si="2"/>
        <v>34228</v>
      </c>
      <c r="G24"/>
      <c r="H24"/>
      <c r="I24"/>
    </row>
    <row r="25" spans="1:9" x14ac:dyDescent="0.25">
      <c r="A25" s="27">
        <v>12060</v>
      </c>
      <c r="B25" s="25" t="s">
        <v>67</v>
      </c>
      <c r="C25" s="26">
        <v>1.1080000000000001</v>
      </c>
      <c r="D25" s="24">
        <f t="shared" si="0"/>
        <v>38645</v>
      </c>
      <c r="E25" s="23">
        <f t="shared" si="1"/>
        <v>31947</v>
      </c>
      <c r="F25" s="23">
        <f t="shared" si="2"/>
        <v>39275</v>
      </c>
      <c r="G25"/>
      <c r="H25"/>
      <c r="I25"/>
    </row>
    <row r="26" spans="1:9" x14ac:dyDescent="0.25">
      <c r="A26" s="27">
        <v>12100</v>
      </c>
      <c r="B26" s="25" t="s">
        <v>68</v>
      </c>
      <c r="C26" s="26">
        <v>1.0649999999999999</v>
      </c>
      <c r="D26" s="24">
        <f t="shared" si="0"/>
        <v>37956</v>
      </c>
      <c r="E26" s="23">
        <f t="shared" si="1"/>
        <v>31518</v>
      </c>
      <c r="F26" s="23">
        <f t="shared" si="2"/>
        <v>38561</v>
      </c>
      <c r="G26"/>
      <c r="H26"/>
      <c r="I26"/>
    </row>
    <row r="27" spans="1:9" x14ac:dyDescent="0.25">
      <c r="A27" s="27">
        <v>12220</v>
      </c>
      <c r="B27" s="25" t="s">
        <v>69</v>
      </c>
      <c r="C27" s="26">
        <v>0.75</v>
      </c>
      <c r="D27" s="24">
        <f t="shared" si="0"/>
        <v>32910</v>
      </c>
      <c r="E27" s="23">
        <f t="shared" si="1"/>
        <v>28377</v>
      </c>
      <c r="F27" s="23">
        <f t="shared" si="2"/>
        <v>33331</v>
      </c>
      <c r="G27"/>
      <c r="H27"/>
      <c r="I27"/>
    </row>
    <row r="28" spans="1:9" x14ac:dyDescent="0.25">
      <c r="A28" s="27">
        <v>12260</v>
      </c>
      <c r="B28" s="25" t="s">
        <v>70</v>
      </c>
      <c r="C28" s="26">
        <v>0.75700000000000001</v>
      </c>
      <c r="D28" s="24">
        <f t="shared" si="0"/>
        <v>33022</v>
      </c>
      <c r="E28" s="23">
        <f t="shared" si="1"/>
        <v>28447</v>
      </c>
      <c r="F28" s="23">
        <f t="shared" si="2"/>
        <v>33447</v>
      </c>
      <c r="G28"/>
      <c r="H28"/>
      <c r="I28"/>
    </row>
    <row r="29" spans="1:9" x14ac:dyDescent="0.25">
      <c r="A29" s="27">
        <v>12420</v>
      </c>
      <c r="B29" s="25" t="s">
        <v>71</v>
      </c>
      <c r="C29" s="26">
        <v>1.284</v>
      </c>
      <c r="D29" s="24">
        <f t="shared" si="0"/>
        <v>41465</v>
      </c>
      <c r="E29" s="23">
        <f t="shared" si="1"/>
        <v>33702</v>
      </c>
      <c r="F29" s="23">
        <f t="shared" si="2"/>
        <v>42198</v>
      </c>
      <c r="G29"/>
      <c r="H29"/>
      <c r="I29"/>
    </row>
    <row r="30" spans="1:9" x14ac:dyDescent="0.25">
      <c r="A30" s="27">
        <v>12540</v>
      </c>
      <c r="B30" s="25" t="s">
        <v>72</v>
      </c>
      <c r="C30" s="26">
        <v>0.84299999999999997</v>
      </c>
      <c r="D30" s="24">
        <f t="shared" si="0"/>
        <v>34400</v>
      </c>
      <c r="E30" s="23">
        <f t="shared" si="1"/>
        <v>29305</v>
      </c>
      <c r="F30" s="23">
        <f t="shared" si="2"/>
        <v>34875</v>
      </c>
      <c r="G30"/>
      <c r="H30"/>
      <c r="I30"/>
    </row>
    <row r="31" spans="1:9" x14ac:dyDescent="0.25">
      <c r="A31" s="27">
        <v>12580</v>
      </c>
      <c r="B31" s="25" t="s">
        <v>73</v>
      </c>
      <c r="C31" s="26">
        <v>1.2270000000000001</v>
      </c>
      <c r="D31" s="24">
        <f t="shared" si="0"/>
        <v>40552</v>
      </c>
      <c r="E31" s="23">
        <f t="shared" si="1"/>
        <v>33133</v>
      </c>
      <c r="F31" s="23">
        <f t="shared" si="2"/>
        <v>41251</v>
      </c>
      <c r="G31"/>
      <c r="H31"/>
      <c r="I31"/>
    </row>
    <row r="32" spans="1:9" x14ac:dyDescent="0.25">
      <c r="A32" s="27">
        <v>12620</v>
      </c>
      <c r="B32" s="25" t="s">
        <v>74</v>
      </c>
      <c r="C32" s="26">
        <v>0.83099999999999996</v>
      </c>
      <c r="D32" s="24">
        <f t="shared" si="0"/>
        <v>34207</v>
      </c>
      <c r="E32" s="23">
        <f t="shared" si="1"/>
        <v>29185</v>
      </c>
      <c r="F32" s="23">
        <f t="shared" si="2"/>
        <v>34676</v>
      </c>
      <c r="G32"/>
      <c r="H32"/>
      <c r="I32"/>
    </row>
    <row r="33" spans="1:9" x14ac:dyDescent="0.25">
      <c r="A33" s="27">
        <v>12700</v>
      </c>
      <c r="B33" s="25" t="s">
        <v>75</v>
      </c>
      <c r="C33" s="26">
        <v>1.389</v>
      </c>
      <c r="D33" s="24">
        <f t="shared" si="0"/>
        <v>43147</v>
      </c>
      <c r="E33" s="23">
        <f t="shared" si="1"/>
        <v>34749</v>
      </c>
      <c r="F33" s="23">
        <f t="shared" si="2"/>
        <v>43941</v>
      </c>
      <c r="G33"/>
      <c r="H33"/>
      <c r="I33"/>
    </row>
    <row r="34" spans="1:9" x14ac:dyDescent="0.25">
      <c r="A34" s="27">
        <v>12940</v>
      </c>
      <c r="B34" s="25" t="s">
        <v>76</v>
      </c>
      <c r="C34" s="26">
        <v>0.83299999999999996</v>
      </c>
      <c r="D34" s="24">
        <f t="shared" si="0"/>
        <v>34239</v>
      </c>
      <c r="E34" s="23">
        <f t="shared" si="1"/>
        <v>29205</v>
      </c>
      <c r="F34" s="23">
        <f t="shared" si="2"/>
        <v>34709</v>
      </c>
      <c r="G34"/>
      <c r="H34"/>
      <c r="I34"/>
    </row>
    <row r="35" spans="1:9" x14ac:dyDescent="0.25">
      <c r="A35" s="27">
        <v>12980</v>
      </c>
      <c r="B35" s="25" t="s">
        <v>77</v>
      </c>
      <c r="C35" s="26">
        <v>0.76</v>
      </c>
      <c r="D35" s="24">
        <f t="shared" si="0"/>
        <v>33070</v>
      </c>
      <c r="E35" s="23">
        <f t="shared" si="1"/>
        <v>28477</v>
      </c>
      <c r="F35" s="23">
        <f t="shared" si="2"/>
        <v>33497</v>
      </c>
      <c r="G35"/>
      <c r="H35"/>
      <c r="I35"/>
    </row>
    <row r="36" spans="1:9" x14ac:dyDescent="0.25">
      <c r="A36" s="27">
        <v>13001</v>
      </c>
      <c r="B36" s="25" t="s">
        <v>78</v>
      </c>
      <c r="C36" s="26">
        <v>0.66400000000000003</v>
      </c>
      <c r="D36" s="24">
        <f t="shared" si="0"/>
        <v>31532</v>
      </c>
      <c r="E36" s="23">
        <f t="shared" si="1"/>
        <v>27520</v>
      </c>
      <c r="F36" s="23">
        <f t="shared" si="2"/>
        <v>31903</v>
      </c>
      <c r="G36"/>
      <c r="H36"/>
      <c r="I36"/>
    </row>
    <row r="37" spans="1:9" x14ac:dyDescent="0.25">
      <c r="A37" s="27">
        <v>13002</v>
      </c>
      <c r="B37" s="25" t="s">
        <v>79</v>
      </c>
      <c r="C37" s="26">
        <v>0.61599999999999999</v>
      </c>
      <c r="D37" s="24">
        <f t="shared" si="0"/>
        <v>30763</v>
      </c>
      <c r="E37" s="23">
        <f t="shared" si="1"/>
        <v>27041</v>
      </c>
      <c r="F37" s="23">
        <f t="shared" si="2"/>
        <v>31106</v>
      </c>
      <c r="G37"/>
      <c r="H37"/>
      <c r="I37"/>
    </row>
    <row r="38" spans="1:9" x14ac:dyDescent="0.25">
      <c r="A38" s="27">
        <v>13140</v>
      </c>
      <c r="B38" s="25" t="s">
        <v>80</v>
      </c>
      <c r="C38" s="26">
        <v>0.78900000000000003</v>
      </c>
      <c r="D38" s="24">
        <f t="shared" si="0"/>
        <v>33535</v>
      </c>
      <c r="E38" s="23">
        <f t="shared" si="1"/>
        <v>28766</v>
      </c>
      <c r="F38" s="23">
        <f t="shared" si="2"/>
        <v>33978</v>
      </c>
      <c r="G38"/>
      <c r="H38"/>
      <c r="I38"/>
    </row>
    <row r="39" spans="1:9" x14ac:dyDescent="0.25">
      <c r="A39" s="27">
        <v>13460</v>
      </c>
      <c r="B39" s="25" t="s">
        <v>81</v>
      </c>
      <c r="C39" s="26">
        <v>1.153</v>
      </c>
      <c r="D39" s="24">
        <f t="shared" si="0"/>
        <v>39366</v>
      </c>
      <c r="E39" s="23">
        <f t="shared" si="1"/>
        <v>32396</v>
      </c>
      <c r="F39" s="23">
        <f t="shared" si="2"/>
        <v>40022</v>
      </c>
      <c r="G39"/>
      <c r="H39"/>
      <c r="I39"/>
    </row>
    <row r="40" spans="1:9" x14ac:dyDescent="0.25">
      <c r="A40" s="27">
        <v>13740</v>
      </c>
      <c r="B40" s="25" t="s">
        <v>82</v>
      </c>
      <c r="C40" s="26">
        <v>0.80400000000000005</v>
      </c>
      <c r="D40" s="24">
        <f t="shared" si="0"/>
        <v>33775</v>
      </c>
      <c r="E40" s="23">
        <f t="shared" si="1"/>
        <v>28916</v>
      </c>
      <c r="F40" s="23">
        <f t="shared" si="2"/>
        <v>34228</v>
      </c>
      <c r="G40"/>
      <c r="H40"/>
      <c r="I40"/>
    </row>
    <row r="41" spans="1:9" x14ac:dyDescent="0.25">
      <c r="A41" s="27">
        <v>13780</v>
      </c>
      <c r="B41" s="25" t="s">
        <v>83</v>
      </c>
      <c r="C41" s="26">
        <v>0.73299999999999998</v>
      </c>
      <c r="D41" s="24">
        <f t="shared" si="0"/>
        <v>32637</v>
      </c>
      <c r="E41" s="23">
        <f t="shared" si="1"/>
        <v>28208</v>
      </c>
      <c r="F41" s="23">
        <f t="shared" si="2"/>
        <v>33049</v>
      </c>
      <c r="G41"/>
      <c r="H41"/>
      <c r="I41"/>
    </row>
    <row r="42" spans="1:9" x14ac:dyDescent="0.25">
      <c r="A42" s="27">
        <v>13820</v>
      </c>
      <c r="B42" s="25" t="s">
        <v>84</v>
      </c>
      <c r="C42" s="26">
        <v>0.81899999999999995</v>
      </c>
      <c r="D42" s="24">
        <f t="shared" si="0"/>
        <v>34015</v>
      </c>
      <c r="E42" s="23">
        <f t="shared" si="1"/>
        <v>29065</v>
      </c>
      <c r="F42" s="23">
        <f t="shared" si="2"/>
        <v>34477</v>
      </c>
      <c r="G42"/>
      <c r="H42"/>
      <c r="I42"/>
    </row>
    <row r="43" spans="1:9" x14ac:dyDescent="0.25">
      <c r="A43" s="27">
        <v>13980</v>
      </c>
      <c r="B43" s="25" t="s">
        <v>85</v>
      </c>
      <c r="C43" s="26">
        <v>0.80200000000000005</v>
      </c>
      <c r="D43" s="24">
        <f t="shared" si="0"/>
        <v>33743</v>
      </c>
      <c r="E43" s="23">
        <f t="shared" si="1"/>
        <v>28896</v>
      </c>
      <c r="F43" s="23">
        <f t="shared" si="2"/>
        <v>34194</v>
      </c>
      <c r="G43"/>
      <c r="H43"/>
      <c r="I43"/>
    </row>
    <row r="44" spans="1:9" x14ac:dyDescent="0.25">
      <c r="A44" s="27">
        <v>14010</v>
      </c>
      <c r="B44" s="25" t="s">
        <v>86</v>
      </c>
      <c r="C44" s="26">
        <v>0.78700000000000003</v>
      </c>
      <c r="D44" s="24">
        <f t="shared" si="0"/>
        <v>33503</v>
      </c>
      <c r="E44" s="23">
        <f t="shared" si="1"/>
        <v>28746</v>
      </c>
      <c r="F44" s="23">
        <f t="shared" si="2"/>
        <v>33945</v>
      </c>
      <c r="G44"/>
      <c r="H44"/>
      <c r="I44"/>
    </row>
    <row r="45" spans="1:9" x14ac:dyDescent="0.25">
      <c r="A45" s="27">
        <v>14020</v>
      </c>
      <c r="B45" s="25" t="s">
        <v>87</v>
      </c>
      <c r="C45" s="26">
        <v>0.85199999999999998</v>
      </c>
      <c r="D45" s="24">
        <f t="shared" si="0"/>
        <v>34544</v>
      </c>
      <c r="E45" s="23">
        <f t="shared" si="1"/>
        <v>29394</v>
      </c>
      <c r="F45" s="23">
        <f t="shared" si="2"/>
        <v>35025</v>
      </c>
      <c r="G45"/>
      <c r="H45"/>
      <c r="I45"/>
    </row>
    <row r="46" spans="1:9" x14ac:dyDescent="0.25">
      <c r="A46" s="27">
        <v>14260</v>
      </c>
      <c r="B46" s="25" t="s">
        <v>88</v>
      </c>
      <c r="C46" s="26">
        <v>0.93200000000000005</v>
      </c>
      <c r="D46" s="24">
        <f t="shared" si="0"/>
        <v>35826</v>
      </c>
      <c r="E46" s="23">
        <f t="shared" si="1"/>
        <v>30192</v>
      </c>
      <c r="F46" s="23">
        <f t="shared" si="2"/>
        <v>36353</v>
      </c>
      <c r="G46"/>
      <c r="H46"/>
      <c r="I46"/>
    </row>
    <row r="47" spans="1:9" x14ac:dyDescent="0.25">
      <c r="A47" s="27">
        <v>14460</v>
      </c>
      <c r="B47" s="25" t="s">
        <v>89</v>
      </c>
      <c r="C47" s="26">
        <v>1.5509999999999999</v>
      </c>
      <c r="D47" s="24">
        <f t="shared" si="0"/>
        <v>45743</v>
      </c>
      <c r="E47" s="23">
        <f t="shared" si="1"/>
        <v>36364</v>
      </c>
      <c r="F47" s="23">
        <f t="shared" si="2"/>
        <v>46631</v>
      </c>
      <c r="G47"/>
      <c r="H47"/>
      <c r="I47"/>
    </row>
    <row r="48" spans="1:9" x14ac:dyDescent="0.25">
      <c r="A48" s="27">
        <v>14500</v>
      </c>
      <c r="B48" s="25" t="s">
        <v>90</v>
      </c>
      <c r="C48" s="26">
        <v>1.47</v>
      </c>
      <c r="D48" s="24">
        <f t="shared" si="0"/>
        <v>44445</v>
      </c>
      <c r="E48" s="23">
        <f t="shared" si="1"/>
        <v>35556</v>
      </c>
      <c r="F48" s="23">
        <f t="shared" si="2"/>
        <v>45286</v>
      </c>
      <c r="G48"/>
      <c r="H48"/>
      <c r="I48"/>
    </row>
    <row r="49" spans="1:9" x14ac:dyDescent="0.25">
      <c r="A49" s="27">
        <v>14540</v>
      </c>
      <c r="B49" s="25" t="s">
        <v>91</v>
      </c>
      <c r="C49" s="26">
        <v>0.73299999999999998</v>
      </c>
      <c r="D49" s="24">
        <f t="shared" si="0"/>
        <v>32637</v>
      </c>
      <c r="E49" s="23">
        <f t="shared" si="1"/>
        <v>28208</v>
      </c>
      <c r="F49" s="23">
        <f t="shared" si="2"/>
        <v>33049</v>
      </c>
      <c r="G49"/>
      <c r="H49"/>
      <c r="I49"/>
    </row>
    <row r="50" spans="1:9" x14ac:dyDescent="0.25">
      <c r="A50" s="27">
        <v>14860</v>
      </c>
      <c r="B50" s="25" t="s">
        <v>92</v>
      </c>
      <c r="C50" s="26">
        <v>1.431</v>
      </c>
      <c r="D50" s="24">
        <f t="shared" si="0"/>
        <v>43820</v>
      </c>
      <c r="E50" s="23">
        <f t="shared" si="1"/>
        <v>35168</v>
      </c>
      <c r="F50" s="23">
        <f t="shared" si="2"/>
        <v>44639</v>
      </c>
      <c r="G50"/>
      <c r="H50"/>
      <c r="I50"/>
    </row>
    <row r="51" spans="1:9" x14ac:dyDescent="0.25">
      <c r="A51" s="27">
        <v>15002</v>
      </c>
      <c r="B51" s="25" t="s">
        <v>93</v>
      </c>
      <c r="C51" s="26">
        <v>1.1479999999999999</v>
      </c>
      <c r="D51" s="24">
        <f t="shared" si="0"/>
        <v>39286</v>
      </c>
      <c r="E51" s="23">
        <f t="shared" si="1"/>
        <v>32346</v>
      </c>
      <c r="F51" s="23">
        <f t="shared" si="2"/>
        <v>39939</v>
      </c>
      <c r="G51"/>
      <c r="H51"/>
      <c r="I51"/>
    </row>
    <row r="52" spans="1:9" x14ac:dyDescent="0.25">
      <c r="A52" s="27">
        <v>15180</v>
      </c>
      <c r="B52" s="25" t="s">
        <v>94</v>
      </c>
      <c r="C52" s="26">
        <v>0.65</v>
      </c>
      <c r="D52" s="24">
        <f t="shared" si="0"/>
        <v>31308</v>
      </c>
      <c r="E52" s="23">
        <f t="shared" si="1"/>
        <v>27380</v>
      </c>
      <c r="F52" s="23">
        <f t="shared" si="2"/>
        <v>31670</v>
      </c>
      <c r="G52"/>
      <c r="H52"/>
      <c r="I52"/>
    </row>
    <row r="53" spans="1:9" x14ac:dyDescent="0.25">
      <c r="A53" s="27">
        <v>15380</v>
      </c>
      <c r="B53" s="25" t="s">
        <v>95</v>
      </c>
      <c r="C53" s="26">
        <v>0.76700000000000002</v>
      </c>
      <c r="D53" s="24">
        <f t="shared" si="0"/>
        <v>33182</v>
      </c>
      <c r="E53" s="23">
        <f t="shared" si="1"/>
        <v>28547</v>
      </c>
      <c r="F53" s="23">
        <f t="shared" si="2"/>
        <v>33613</v>
      </c>
      <c r="G53"/>
      <c r="H53"/>
      <c r="I53"/>
    </row>
    <row r="54" spans="1:9" x14ac:dyDescent="0.25">
      <c r="A54" s="27">
        <v>15500</v>
      </c>
      <c r="B54" s="25" t="s">
        <v>96</v>
      </c>
      <c r="C54" s="26">
        <v>0.73299999999999998</v>
      </c>
      <c r="D54" s="24">
        <f t="shared" si="0"/>
        <v>32637</v>
      </c>
      <c r="E54" s="23">
        <f t="shared" si="1"/>
        <v>28208</v>
      </c>
      <c r="F54" s="23">
        <f t="shared" si="2"/>
        <v>33049</v>
      </c>
      <c r="G54"/>
      <c r="H54"/>
      <c r="I54"/>
    </row>
    <row r="55" spans="1:9" x14ac:dyDescent="0.25">
      <c r="A55" s="27">
        <v>15540</v>
      </c>
      <c r="B55" s="25" t="s">
        <v>97</v>
      </c>
      <c r="C55" s="26">
        <v>1.2350000000000001</v>
      </c>
      <c r="D55" s="24">
        <f t="shared" si="0"/>
        <v>40680</v>
      </c>
      <c r="E55" s="23">
        <f t="shared" si="1"/>
        <v>33213</v>
      </c>
      <c r="F55" s="23">
        <f t="shared" si="2"/>
        <v>41384</v>
      </c>
      <c r="G55"/>
      <c r="H55"/>
      <c r="I55"/>
    </row>
    <row r="56" spans="1:9" x14ac:dyDescent="0.25">
      <c r="A56" s="27">
        <v>15680</v>
      </c>
      <c r="B56" s="25" t="s">
        <v>98</v>
      </c>
      <c r="C56" s="26">
        <v>1.2110000000000001</v>
      </c>
      <c r="D56" s="24">
        <f t="shared" si="0"/>
        <v>40295</v>
      </c>
      <c r="E56" s="23">
        <f t="shared" si="1"/>
        <v>32974</v>
      </c>
      <c r="F56" s="23">
        <f t="shared" si="2"/>
        <v>40986</v>
      </c>
      <c r="G56"/>
      <c r="H56"/>
      <c r="I56"/>
    </row>
    <row r="57" spans="1:9" x14ac:dyDescent="0.25">
      <c r="A57" s="27">
        <v>15940</v>
      </c>
      <c r="B57" s="25" t="s">
        <v>99</v>
      </c>
      <c r="C57" s="26">
        <v>0.67400000000000004</v>
      </c>
      <c r="D57" s="24">
        <f t="shared" si="0"/>
        <v>31692</v>
      </c>
      <c r="E57" s="23">
        <f t="shared" si="1"/>
        <v>27619</v>
      </c>
      <c r="F57" s="23">
        <f t="shared" si="2"/>
        <v>32069</v>
      </c>
      <c r="G57"/>
      <c r="H57"/>
      <c r="I57"/>
    </row>
    <row r="58" spans="1:9" x14ac:dyDescent="0.25">
      <c r="A58" s="27">
        <v>15980</v>
      </c>
      <c r="B58" s="25" t="s">
        <v>100</v>
      </c>
      <c r="C58" s="26">
        <v>1.099</v>
      </c>
      <c r="D58" s="24">
        <f t="shared" si="0"/>
        <v>38501</v>
      </c>
      <c r="E58" s="23">
        <f t="shared" si="1"/>
        <v>31857</v>
      </c>
      <c r="F58" s="23">
        <f t="shared" si="2"/>
        <v>39126</v>
      </c>
      <c r="G58"/>
      <c r="H58"/>
      <c r="I58"/>
    </row>
    <row r="59" spans="1:9" x14ac:dyDescent="0.25">
      <c r="A59" s="27">
        <v>16001</v>
      </c>
      <c r="B59" s="25" t="s">
        <v>101</v>
      </c>
      <c r="C59" s="26">
        <v>0.65400000000000003</v>
      </c>
      <c r="D59" s="24">
        <f t="shared" si="0"/>
        <v>31372</v>
      </c>
      <c r="E59" s="23">
        <f t="shared" si="1"/>
        <v>27420</v>
      </c>
      <c r="F59" s="23">
        <f t="shared" si="2"/>
        <v>31737</v>
      </c>
      <c r="G59"/>
      <c r="H59"/>
      <c r="I59"/>
    </row>
    <row r="60" spans="1:9" x14ac:dyDescent="0.25">
      <c r="A60" s="27">
        <v>16002</v>
      </c>
      <c r="B60" s="25" t="s">
        <v>102</v>
      </c>
      <c r="C60" s="26">
        <v>0.68700000000000006</v>
      </c>
      <c r="D60" s="24">
        <f t="shared" si="0"/>
        <v>31900</v>
      </c>
      <c r="E60" s="23">
        <f t="shared" si="1"/>
        <v>27749</v>
      </c>
      <c r="F60" s="23">
        <f t="shared" si="2"/>
        <v>32285</v>
      </c>
      <c r="G60"/>
      <c r="H60"/>
      <c r="I60"/>
    </row>
    <row r="61" spans="1:9" x14ac:dyDescent="0.25">
      <c r="A61" s="27">
        <v>16060</v>
      </c>
      <c r="B61" s="25" t="s">
        <v>103</v>
      </c>
      <c r="C61" s="26">
        <v>0.65</v>
      </c>
      <c r="D61" s="24">
        <f t="shared" si="0"/>
        <v>31308</v>
      </c>
      <c r="E61" s="23">
        <f t="shared" si="1"/>
        <v>27380</v>
      </c>
      <c r="F61" s="23">
        <f t="shared" si="2"/>
        <v>31670</v>
      </c>
      <c r="G61"/>
      <c r="H61"/>
      <c r="I61"/>
    </row>
    <row r="62" spans="1:9" x14ac:dyDescent="0.25">
      <c r="A62" s="27">
        <v>16300</v>
      </c>
      <c r="B62" s="25" t="s">
        <v>104</v>
      </c>
      <c r="C62" s="26">
        <v>0.74399999999999999</v>
      </c>
      <c r="D62" s="24">
        <f t="shared" si="0"/>
        <v>32814</v>
      </c>
      <c r="E62" s="23">
        <f t="shared" si="1"/>
        <v>28317</v>
      </c>
      <c r="F62" s="23">
        <f t="shared" si="2"/>
        <v>33231</v>
      </c>
      <c r="G62"/>
      <c r="H62"/>
      <c r="I62"/>
    </row>
    <row r="63" spans="1:9" x14ac:dyDescent="0.25">
      <c r="A63" s="27">
        <v>16540</v>
      </c>
      <c r="B63" s="25" t="s">
        <v>105</v>
      </c>
      <c r="C63" s="26">
        <v>0.79500000000000004</v>
      </c>
      <c r="D63" s="24">
        <f t="shared" si="0"/>
        <v>33631</v>
      </c>
      <c r="E63" s="23">
        <f t="shared" si="1"/>
        <v>28826</v>
      </c>
      <c r="F63" s="23">
        <f t="shared" si="2"/>
        <v>34078</v>
      </c>
      <c r="G63"/>
      <c r="H63"/>
      <c r="I63"/>
    </row>
    <row r="64" spans="1:9" x14ac:dyDescent="0.25">
      <c r="A64" s="27">
        <v>16580</v>
      </c>
      <c r="B64" s="25" t="s">
        <v>106</v>
      </c>
      <c r="C64" s="26">
        <v>0.79800000000000004</v>
      </c>
      <c r="D64" s="24">
        <f t="shared" si="0"/>
        <v>33679</v>
      </c>
      <c r="E64" s="23">
        <f t="shared" si="1"/>
        <v>28856</v>
      </c>
      <c r="F64" s="23">
        <f t="shared" si="2"/>
        <v>34128</v>
      </c>
      <c r="G64"/>
      <c r="H64"/>
      <c r="I64"/>
    </row>
    <row r="65" spans="1:9" x14ac:dyDescent="0.25">
      <c r="A65" s="27">
        <v>16620</v>
      </c>
      <c r="B65" s="25" t="s">
        <v>107</v>
      </c>
      <c r="C65" s="26">
        <v>0.72299999999999998</v>
      </c>
      <c r="D65" s="24">
        <f t="shared" si="0"/>
        <v>32477</v>
      </c>
      <c r="E65" s="23">
        <f t="shared" si="1"/>
        <v>28108</v>
      </c>
      <c r="F65" s="23">
        <f t="shared" si="2"/>
        <v>32883</v>
      </c>
      <c r="G65"/>
      <c r="H65"/>
      <c r="I65"/>
    </row>
    <row r="66" spans="1:9" x14ac:dyDescent="0.25">
      <c r="A66" s="27">
        <v>16700</v>
      </c>
      <c r="B66" s="25" t="s">
        <v>108</v>
      </c>
      <c r="C66" s="26">
        <v>1.085</v>
      </c>
      <c r="D66" s="24">
        <f t="shared" si="0"/>
        <v>38277</v>
      </c>
      <c r="E66" s="23">
        <f t="shared" si="1"/>
        <v>31718</v>
      </c>
      <c r="F66" s="23">
        <f t="shared" si="2"/>
        <v>38893</v>
      </c>
      <c r="G66"/>
      <c r="H66"/>
      <c r="I66"/>
    </row>
    <row r="67" spans="1:9" x14ac:dyDescent="0.25">
      <c r="A67" s="27">
        <v>16740</v>
      </c>
      <c r="B67" s="25" t="s">
        <v>109</v>
      </c>
      <c r="C67" s="26">
        <v>0.96699999999999997</v>
      </c>
      <c r="D67" s="24">
        <f t="shared" si="0"/>
        <v>36386</v>
      </c>
      <c r="E67" s="23">
        <f t="shared" si="1"/>
        <v>30541</v>
      </c>
      <c r="F67" s="23">
        <f t="shared" si="2"/>
        <v>36934</v>
      </c>
      <c r="G67"/>
      <c r="H67"/>
      <c r="I67"/>
    </row>
    <row r="68" spans="1:9" x14ac:dyDescent="0.25">
      <c r="A68" s="27">
        <v>16820</v>
      </c>
      <c r="B68" s="25" t="s">
        <v>110</v>
      </c>
      <c r="C68" s="26">
        <v>1.165</v>
      </c>
      <c r="D68" s="24">
        <f t="shared" ref="D68:D131" si="3">ROUND((+$C68*D$2*0.434+(1-0.434)*D$2),0)</f>
        <v>39558</v>
      </c>
      <c r="E68" s="23">
        <f t="shared" ref="E68:E131" si="4">ROUND((+$C68*E$2*0.323+(1-0.323)*E$2),0)</f>
        <v>32515</v>
      </c>
      <c r="F68" s="23">
        <f t="shared" ref="F68:F131" si="5">ROUND((+$C68*F$2*0.443+(1-0.443)*F$2),0)</f>
        <v>40222</v>
      </c>
      <c r="G68"/>
      <c r="H68"/>
      <c r="I68"/>
    </row>
    <row r="69" spans="1:9" x14ac:dyDescent="0.25">
      <c r="A69" s="27">
        <v>16860</v>
      </c>
      <c r="B69" s="25" t="s">
        <v>111</v>
      </c>
      <c r="C69" s="26">
        <v>0.78600000000000003</v>
      </c>
      <c r="D69" s="24">
        <f t="shared" si="3"/>
        <v>33486</v>
      </c>
      <c r="E69" s="23">
        <f t="shared" si="4"/>
        <v>28736</v>
      </c>
      <c r="F69" s="23">
        <f t="shared" si="5"/>
        <v>33929</v>
      </c>
      <c r="G69"/>
      <c r="H69"/>
      <c r="I69"/>
    </row>
    <row r="70" spans="1:9" x14ac:dyDescent="0.25">
      <c r="A70" s="27">
        <v>16980</v>
      </c>
      <c r="B70" s="25" t="s">
        <v>112</v>
      </c>
      <c r="C70" s="26">
        <v>1.0449999999999999</v>
      </c>
      <c r="D70" s="24">
        <f t="shared" si="3"/>
        <v>37636</v>
      </c>
      <c r="E70" s="23">
        <f t="shared" si="4"/>
        <v>31319</v>
      </c>
      <c r="F70" s="23">
        <f t="shared" si="5"/>
        <v>38229</v>
      </c>
      <c r="G70"/>
      <c r="H70"/>
      <c r="I70"/>
    </row>
    <row r="71" spans="1:9" x14ac:dyDescent="0.25">
      <c r="A71" s="27">
        <v>17001</v>
      </c>
      <c r="B71" s="25" t="s">
        <v>113</v>
      </c>
      <c r="C71" s="26">
        <v>0.73699999999999999</v>
      </c>
      <c r="D71" s="24">
        <f t="shared" si="3"/>
        <v>32701</v>
      </c>
      <c r="E71" s="23">
        <f t="shared" si="4"/>
        <v>28248</v>
      </c>
      <c r="F71" s="23">
        <f t="shared" si="5"/>
        <v>33115</v>
      </c>
      <c r="G71"/>
      <c r="H71"/>
      <c r="I71"/>
    </row>
    <row r="72" spans="1:9" x14ac:dyDescent="0.25">
      <c r="A72" s="27">
        <v>17002</v>
      </c>
      <c r="B72" s="25" t="s">
        <v>114</v>
      </c>
      <c r="C72" s="26">
        <v>0.623</v>
      </c>
      <c r="D72" s="24">
        <f t="shared" si="3"/>
        <v>30875</v>
      </c>
      <c r="E72" s="23">
        <f t="shared" si="4"/>
        <v>27111</v>
      </c>
      <c r="F72" s="23">
        <f t="shared" si="5"/>
        <v>31222</v>
      </c>
      <c r="G72"/>
      <c r="H72"/>
      <c r="I72"/>
    </row>
    <row r="73" spans="1:9" x14ac:dyDescent="0.25">
      <c r="A73" s="27">
        <v>17020</v>
      </c>
      <c r="B73" s="25" t="s">
        <v>115</v>
      </c>
      <c r="C73" s="26">
        <v>1.008</v>
      </c>
      <c r="D73" s="24">
        <f t="shared" si="3"/>
        <v>37043</v>
      </c>
      <c r="E73" s="23">
        <f t="shared" si="4"/>
        <v>30950</v>
      </c>
      <c r="F73" s="23">
        <f t="shared" si="5"/>
        <v>37615</v>
      </c>
      <c r="G73"/>
      <c r="H73"/>
      <c r="I73"/>
    </row>
    <row r="74" spans="1:9" x14ac:dyDescent="0.25">
      <c r="A74" s="27">
        <v>17140</v>
      </c>
      <c r="B74" s="25" t="s">
        <v>116</v>
      </c>
      <c r="C74" s="26">
        <v>0.81599999999999995</v>
      </c>
      <c r="D74" s="24">
        <f t="shared" si="3"/>
        <v>33967</v>
      </c>
      <c r="E74" s="23">
        <f t="shared" si="4"/>
        <v>29035</v>
      </c>
      <c r="F74" s="23">
        <f t="shared" si="5"/>
        <v>34427</v>
      </c>
      <c r="G74"/>
      <c r="H74"/>
      <c r="I74"/>
    </row>
    <row r="75" spans="1:9" x14ac:dyDescent="0.25">
      <c r="A75" s="27">
        <v>17300</v>
      </c>
      <c r="B75" s="25" t="s">
        <v>117</v>
      </c>
      <c r="C75" s="26">
        <v>0.79300000000000004</v>
      </c>
      <c r="D75" s="24">
        <f t="shared" si="3"/>
        <v>33599</v>
      </c>
      <c r="E75" s="23">
        <f t="shared" si="4"/>
        <v>28806</v>
      </c>
      <c r="F75" s="23">
        <f t="shared" si="5"/>
        <v>34045</v>
      </c>
      <c r="G75"/>
      <c r="H75"/>
      <c r="I75"/>
    </row>
    <row r="76" spans="1:9" x14ac:dyDescent="0.25">
      <c r="A76" s="27">
        <v>17420</v>
      </c>
      <c r="B76" s="25" t="s">
        <v>118</v>
      </c>
      <c r="C76" s="26">
        <v>0.70799999999999996</v>
      </c>
      <c r="D76" s="24">
        <f t="shared" si="3"/>
        <v>32237</v>
      </c>
      <c r="E76" s="23">
        <f t="shared" si="4"/>
        <v>27958</v>
      </c>
      <c r="F76" s="23">
        <f t="shared" si="5"/>
        <v>32633</v>
      </c>
      <c r="G76"/>
      <c r="H76"/>
      <c r="I76"/>
    </row>
    <row r="77" spans="1:9" x14ac:dyDescent="0.25">
      <c r="A77" s="27">
        <v>17460</v>
      </c>
      <c r="B77" s="25" t="s">
        <v>119</v>
      </c>
      <c r="C77" s="26">
        <v>0.78100000000000003</v>
      </c>
      <c r="D77" s="24">
        <f t="shared" si="3"/>
        <v>33406</v>
      </c>
      <c r="E77" s="23">
        <f t="shared" si="4"/>
        <v>28686</v>
      </c>
      <c r="F77" s="23">
        <f t="shared" si="5"/>
        <v>33846</v>
      </c>
      <c r="G77"/>
      <c r="H77"/>
      <c r="I77"/>
    </row>
    <row r="78" spans="1:9" x14ac:dyDescent="0.25">
      <c r="A78" s="27">
        <v>17660</v>
      </c>
      <c r="B78" s="25" t="s">
        <v>120</v>
      </c>
      <c r="C78" s="26">
        <v>0.89600000000000002</v>
      </c>
      <c r="D78" s="24">
        <f t="shared" si="3"/>
        <v>35249</v>
      </c>
      <c r="E78" s="23">
        <f t="shared" si="4"/>
        <v>29833</v>
      </c>
      <c r="F78" s="23">
        <f t="shared" si="5"/>
        <v>35755</v>
      </c>
      <c r="G78"/>
      <c r="H78"/>
      <c r="I78"/>
    </row>
    <row r="79" spans="1:9" x14ac:dyDescent="0.25">
      <c r="A79" s="27">
        <v>17780</v>
      </c>
      <c r="B79" s="25" t="s">
        <v>121</v>
      </c>
      <c r="C79" s="26">
        <v>0.81299999999999994</v>
      </c>
      <c r="D79" s="24">
        <f t="shared" si="3"/>
        <v>33919</v>
      </c>
      <c r="E79" s="23">
        <f t="shared" si="4"/>
        <v>29005</v>
      </c>
      <c r="F79" s="23">
        <f t="shared" si="5"/>
        <v>34377</v>
      </c>
      <c r="G79"/>
      <c r="H79"/>
      <c r="I79"/>
    </row>
    <row r="80" spans="1:9" x14ac:dyDescent="0.25">
      <c r="A80" s="27">
        <v>17820</v>
      </c>
      <c r="B80" s="25" t="s">
        <v>122</v>
      </c>
      <c r="C80" s="26">
        <v>1.095</v>
      </c>
      <c r="D80" s="24">
        <f t="shared" si="3"/>
        <v>38437</v>
      </c>
      <c r="E80" s="23">
        <f t="shared" si="4"/>
        <v>31817</v>
      </c>
      <c r="F80" s="23">
        <f t="shared" si="5"/>
        <v>39059</v>
      </c>
      <c r="G80"/>
      <c r="H80"/>
      <c r="I80"/>
    </row>
    <row r="81" spans="1:9" x14ac:dyDescent="0.25">
      <c r="A81" s="27">
        <v>17900</v>
      </c>
      <c r="B81" s="25" t="s">
        <v>123</v>
      </c>
      <c r="C81" s="26">
        <v>0.82499999999999996</v>
      </c>
      <c r="D81" s="24">
        <f t="shared" si="3"/>
        <v>34111</v>
      </c>
      <c r="E81" s="23">
        <f t="shared" si="4"/>
        <v>29125</v>
      </c>
      <c r="F81" s="23">
        <f t="shared" si="5"/>
        <v>34576</v>
      </c>
      <c r="G81"/>
      <c r="H81"/>
      <c r="I81"/>
    </row>
    <row r="82" spans="1:9" x14ac:dyDescent="0.25">
      <c r="A82" s="27">
        <v>17980</v>
      </c>
      <c r="B82" s="25" t="s">
        <v>124</v>
      </c>
      <c r="C82" s="26">
        <v>0.77200000000000002</v>
      </c>
      <c r="D82" s="24">
        <f t="shared" si="3"/>
        <v>33262</v>
      </c>
      <c r="E82" s="23">
        <f t="shared" si="4"/>
        <v>28597</v>
      </c>
      <c r="F82" s="23">
        <f t="shared" si="5"/>
        <v>33696</v>
      </c>
      <c r="G82"/>
      <c r="H82"/>
      <c r="I82"/>
    </row>
    <row r="83" spans="1:9" x14ac:dyDescent="0.25">
      <c r="A83" s="27">
        <v>18001</v>
      </c>
      <c r="B83" s="25" t="s">
        <v>125</v>
      </c>
      <c r="C83" s="26">
        <v>0.69599999999999995</v>
      </c>
      <c r="D83" s="24">
        <f t="shared" si="3"/>
        <v>32045</v>
      </c>
      <c r="E83" s="23">
        <f t="shared" si="4"/>
        <v>27839</v>
      </c>
      <c r="F83" s="23">
        <f t="shared" si="5"/>
        <v>32434</v>
      </c>
      <c r="G83"/>
      <c r="H83"/>
      <c r="I83"/>
    </row>
    <row r="84" spans="1:9" x14ac:dyDescent="0.25">
      <c r="A84" s="27">
        <v>18002</v>
      </c>
      <c r="B84" s="25" t="s">
        <v>126</v>
      </c>
      <c r="C84" s="26">
        <v>0.63700000000000001</v>
      </c>
      <c r="D84" s="24">
        <f t="shared" si="3"/>
        <v>31099</v>
      </c>
      <c r="E84" s="23">
        <f t="shared" si="4"/>
        <v>27251</v>
      </c>
      <c r="F84" s="23">
        <f t="shared" si="5"/>
        <v>31455</v>
      </c>
      <c r="G84"/>
      <c r="H84"/>
      <c r="I84"/>
    </row>
    <row r="85" spans="1:9" x14ac:dyDescent="0.25">
      <c r="A85" s="27">
        <v>18140</v>
      </c>
      <c r="B85" s="25" t="s">
        <v>127</v>
      </c>
      <c r="C85" s="26">
        <v>0.93899999999999995</v>
      </c>
      <c r="D85" s="24">
        <f t="shared" si="3"/>
        <v>35938</v>
      </c>
      <c r="E85" s="23">
        <f t="shared" si="4"/>
        <v>30262</v>
      </c>
      <c r="F85" s="23">
        <f t="shared" si="5"/>
        <v>36469</v>
      </c>
      <c r="G85"/>
      <c r="H85"/>
      <c r="I85"/>
    </row>
    <row r="86" spans="1:9" x14ac:dyDescent="0.25">
      <c r="A86" s="27">
        <v>18580</v>
      </c>
      <c r="B86" s="25" t="s">
        <v>128</v>
      </c>
      <c r="C86" s="26">
        <v>0.95499999999999996</v>
      </c>
      <c r="D86" s="24">
        <f t="shared" si="3"/>
        <v>36194</v>
      </c>
      <c r="E86" s="23">
        <f t="shared" si="4"/>
        <v>30421</v>
      </c>
      <c r="F86" s="23">
        <f t="shared" si="5"/>
        <v>36735</v>
      </c>
      <c r="G86"/>
      <c r="H86"/>
      <c r="I86"/>
    </row>
    <row r="87" spans="1:9" x14ac:dyDescent="0.25">
      <c r="A87" s="27">
        <v>19001</v>
      </c>
      <c r="B87" s="25" t="s">
        <v>129</v>
      </c>
      <c r="C87" s="26">
        <v>0.76400000000000001</v>
      </c>
      <c r="D87" s="24">
        <f t="shared" si="3"/>
        <v>33134</v>
      </c>
      <c r="E87" s="23">
        <f t="shared" si="4"/>
        <v>28517</v>
      </c>
      <c r="F87" s="23">
        <f t="shared" si="5"/>
        <v>33563</v>
      </c>
      <c r="G87"/>
      <c r="H87"/>
      <c r="I87"/>
    </row>
    <row r="88" spans="1:9" x14ac:dyDescent="0.25">
      <c r="A88" s="27">
        <v>19002</v>
      </c>
      <c r="B88" s="25" t="s">
        <v>130</v>
      </c>
      <c r="C88" s="26">
        <v>0.621</v>
      </c>
      <c r="D88" s="24">
        <f t="shared" si="3"/>
        <v>30843</v>
      </c>
      <c r="E88" s="23">
        <f t="shared" si="4"/>
        <v>27091</v>
      </c>
      <c r="F88" s="23">
        <f t="shared" si="5"/>
        <v>31189</v>
      </c>
      <c r="G88"/>
      <c r="H88"/>
      <c r="I88"/>
    </row>
    <row r="89" spans="1:9" x14ac:dyDescent="0.25">
      <c r="A89" s="27">
        <v>19100</v>
      </c>
      <c r="B89" s="25" t="s">
        <v>131</v>
      </c>
      <c r="C89" s="26">
        <v>1.1519999999999999</v>
      </c>
      <c r="D89" s="24">
        <f t="shared" si="3"/>
        <v>39350</v>
      </c>
      <c r="E89" s="23">
        <f t="shared" si="4"/>
        <v>32386</v>
      </c>
      <c r="F89" s="23">
        <f t="shared" si="5"/>
        <v>40006</v>
      </c>
      <c r="G89"/>
      <c r="H89"/>
      <c r="I89"/>
    </row>
    <row r="90" spans="1:9" x14ac:dyDescent="0.25">
      <c r="A90" s="27">
        <v>19300</v>
      </c>
      <c r="B90" s="25" t="s">
        <v>132</v>
      </c>
      <c r="C90" s="26">
        <v>0.89800000000000002</v>
      </c>
      <c r="D90" s="24">
        <f t="shared" si="3"/>
        <v>35281</v>
      </c>
      <c r="E90" s="23">
        <f t="shared" si="4"/>
        <v>29853</v>
      </c>
      <c r="F90" s="23">
        <f t="shared" si="5"/>
        <v>35788</v>
      </c>
      <c r="G90"/>
      <c r="H90"/>
      <c r="I90"/>
    </row>
    <row r="91" spans="1:9" x14ac:dyDescent="0.25">
      <c r="A91" s="27">
        <v>19340</v>
      </c>
      <c r="B91" s="25" t="s">
        <v>133</v>
      </c>
      <c r="C91" s="26">
        <v>0.72199999999999998</v>
      </c>
      <c r="D91" s="24">
        <f t="shared" si="3"/>
        <v>32461</v>
      </c>
      <c r="E91" s="23">
        <f t="shared" si="4"/>
        <v>28098</v>
      </c>
      <c r="F91" s="23">
        <f t="shared" si="5"/>
        <v>32866</v>
      </c>
      <c r="G91"/>
      <c r="H91"/>
      <c r="I91"/>
    </row>
    <row r="92" spans="1:9" x14ac:dyDescent="0.25">
      <c r="A92" s="27">
        <v>19380</v>
      </c>
      <c r="B92" s="25" t="s">
        <v>134</v>
      </c>
      <c r="C92" s="26">
        <v>0.74399999999999999</v>
      </c>
      <c r="D92" s="24">
        <f t="shared" si="3"/>
        <v>32814</v>
      </c>
      <c r="E92" s="23">
        <f t="shared" si="4"/>
        <v>28317</v>
      </c>
      <c r="F92" s="23">
        <f t="shared" si="5"/>
        <v>33231</v>
      </c>
      <c r="G92"/>
      <c r="H92"/>
      <c r="I92"/>
    </row>
    <row r="93" spans="1:9" x14ac:dyDescent="0.25">
      <c r="A93" s="27">
        <v>19660</v>
      </c>
      <c r="B93" s="25" t="s">
        <v>135</v>
      </c>
      <c r="C93" s="26">
        <v>0.998</v>
      </c>
      <c r="D93" s="24">
        <f t="shared" si="3"/>
        <v>36883</v>
      </c>
      <c r="E93" s="23">
        <f t="shared" si="4"/>
        <v>30850</v>
      </c>
      <c r="F93" s="23">
        <f t="shared" si="5"/>
        <v>37449</v>
      </c>
      <c r="G93"/>
      <c r="H93"/>
      <c r="I93"/>
    </row>
    <row r="94" spans="1:9" x14ac:dyDescent="0.25">
      <c r="A94" s="27">
        <v>19740</v>
      </c>
      <c r="B94" s="25" t="s">
        <v>136</v>
      </c>
      <c r="C94" s="26">
        <v>1.411</v>
      </c>
      <c r="D94" s="24">
        <f t="shared" si="3"/>
        <v>43500</v>
      </c>
      <c r="E94" s="23">
        <f t="shared" si="4"/>
        <v>34968</v>
      </c>
      <c r="F94" s="23">
        <f t="shared" si="5"/>
        <v>44306</v>
      </c>
      <c r="G94"/>
      <c r="H94"/>
      <c r="I94"/>
    </row>
    <row r="95" spans="1:9" x14ac:dyDescent="0.25">
      <c r="A95" s="27">
        <v>19780</v>
      </c>
      <c r="B95" s="25" t="s">
        <v>137</v>
      </c>
      <c r="C95" s="26">
        <v>0.86099999999999999</v>
      </c>
      <c r="D95" s="24">
        <f t="shared" si="3"/>
        <v>34688</v>
      </c>
      <c r="E95" s="23">
        <f t="shared" si="4"/>
        <v>29484</v>
      </c>
      <c r="F95" s="23">
        <f t="shared" si="5"/>
        <v>35174</v>
      </c>
      <c r="G95"/>
      <c r="H95"/>
      <c r="I95"/>
    </row>
    <row r="96" spans="1:9" x14ac:dyDescent="0.25">
      <c r="A96" s="27">
        <v>19820</v>
      </c>
      <c r="B96" s="25" t="s">
        <v>138</v>
      </c>
      <c r="C96" s="26">
        <v>0.91300000000000003</v>
      </c>
      <c r="D96" s="24">
        <f t="shared" si="3"/>
        <v>35521</v>
      </c>
      <c r="E96" s="23">
        <f t="shared" si="4"/>
        <v>30003</v>
      </c>
      <c r="F96" s="23">
        <f t="shared" si="5"/>
        <v>36037</v>
      </c>
      <c r="G96"/>
      <c r="H96"/>
      <c r="I96"/>
    </row>
    <row r="97" spans="1:9" x14ac:dyDescent="0.25">
      <c r="A97" s="27">
        <v>20001</v>
      </c>
      <c r="B97" s="25" t="s">
        <v>139</v>
      </c>
      <c r="C97" s="26">
        <v>0.78500000000000003</v>
      </c>
      <c r="D97" s="24">
        <f t="shared" si="3"/>
        <v>33470</v>
      </c>
      <c r="E97" s="23">
        <f t="shared" si="4"/>
        <v>28726</v>
      </c>
      <c r="F97" s="23">
        <f t="shared" si="5"/>
        <v>33912</v>
      </c>
      <c r="G97"/>
      <c r="H97"/>
      <c r="I97"/>
    </row>
    <row r="98" spans="1:9" x14ac:dyDescent="0.25">
      <c r="A98" s="27">
        <v>20002</v>
      </c>
      <c r="B98" s="25" t="s">
        <v>140</v>
      </c>
      <c r="C98" s="26">
        <v>0.62</v>
      </c>
      <c r="D98" s="24">
        <f t="shared" si="3"/>
        <v>30827</v>
      </c>
      <c r="E98" s="23">
        <f t="shared" si="4"/>
        <v>27081</v>
      </c>
      <c r="F98" s="23">
        <f t="shared" si="5"/>
        <v>31172</v>
      </c>
      <c r="G98"/>
      <c r="H98"/>
      <c r="I98"/>
    </row>
    <row r="99" spans="1:9" x14ac:dyDescent="0.25">
      <c r="A99" s="27">
        <v>20100</v>
      </c>
      <c r="B99" s="25" t="s">
        <v>141</v>
      </c>
      <c r="C99" s="26">
        <v>0.93700000000000006</v>
      </c>
      <c r="D99" s="24">
        <f t="shared" si="3"/>
        <v>35906</v>
      </c>
      <c r="E99" s="23">
        <f t="shared" si="4"/>
        <v>30242</v>
      </c>
      <c r="F99" s="23">
        <f t="shared" si="5"/>
        <v>36436</v>
      </c>
      <c r="G99"/>
      <c r="H99"/>
      <c r="I99"/>
    </row>
    <row r="100" spans="1:9" x14ac:dyDescent="0.25">
      <c r="A100" s="27">
        <v>20500</v>
      </c>
      <c r="B100" s="25" t="s">
        <v>142</v>
      </c>
      <c r="C100" s="26">
        <v>1.0189999999999999</v>
      </c>
      <c r="D100" s="24">
        <f t="shared" si="3"/>
        <v>37219</v>
      </c>
      <c r="E100" s="23">
        <f t="shared" si="4"/>
        <v>31059</v>
      </c>
      <c r="F100" s="23">
        <f t="shared" si="5"/>
        <v>37797</v>
      </c>
      <c r="G100"/>
      <c r="H100"/>
      <c r="I100"/>
    </row>
    <row r="101" spans="1:9" x14ac:dyDescent="0.25">
      <c r="A101" s="27">
        <v>20700</v>
      </c>
      <c r="B101" s="25" t="s">
        <v>143</v>
      </c>
      <c r="C101" s="26">
        <v>1.0329999999999999</v>
      </c>
      <c r="D101" s="24">
        <f t="shared" si="3"/>
        <v>37444</v>
      </c>
      <c r="E101" s="23">
        <f t="shared" si="4"/>
        <v>31199</v>
      </c>
      <c r="F101" s="23">
        <f t="shared" si="5"/>
        <v>38030</v>
      </c>
      <c r="G101"/>
      <c r="H101"/>
      <c r="I101"/>
    </row>
    <row r="102" spans="1:9" x14ac:dyDescent="0.25">
      <c r="A102" s="27">
        <v>21001</v>
      </c>
      <c r="B102" s="25" t="s">
        <v>144</v>
      </c>
      <c r="C102" s="26">
        <v>0.65600000000000003</v>
      </c>
      <c r="D102" s="24">
        <f t="shared" si="3"/>
        <v>31404</v>
      </c>
      <c r="E102" s="23">
        <f t="shared" si="4"/>
        <v>27440</v>
      </c>
      <c r="F102" s="23">
        <f t="shared" si="5"/>
        <v>31770</v>
      </c>
      <c r="G102"/>
      <c r="H102"/>
      <c r="I102"/>
    </row>
    <row r="103" spans="1:9" x14ac:dyDescent="0.25">
      <c r="A103" s="27">
        <v>21002</v>
      </c>
      <c r="B103" s="25" t="s">
        <v>145</v>
      </c>
      <c r="C103" s="26">
        <v>0.59699999999999998</v>
      </c>
      <c r="D103" s="24">
        <f t="shared" si="3"/>
        <v>30458</v>
      </c>
      <c r="E103" s="23">
        <f t="shared" si="4"/>
        <v>26852</v>
      </c>
      <c r="F103" s="23">
        <f t="shared" si="5"/>
        <v>30790</v>
      </c>
      <c r="G103"/>
      <c r="H103"/>
      <c r="I103"/>
    </row>
    <row r="104" spans="1:9" x14ac:dyDescent="0.25">
      <c r="A104" s="27">
        <v>21140</v>
      </c>
      <c r="B104" s="25" t="s">
        <v>146</v>
      </c>
      <c r="C104" s="26">
        <v>0.74</v>
      </c>
      <c r="D104" s="24">
        <f t="shared" si="3"/>
        <v>32750</v>
      </c>
      <c r="E104" s="23">
        <f t="shared" si="4"/>
        <v>28278</v>
      </c>
      <c r="F104" s="23">
        <f t="shared" si="5"/>
        <v>33165</v>
      </c>
      <c r="G104"/>
      <c r="H104"/>
      <c r="I104"/>
    </row>
    <row r="105" spans="1:9" x14ac:dyDescent="0.25">
      <c r="A105" s="27">
        <v>21340</v>
      </c>
      <c r="B105" s="25" t="s">
        <v>147</v>
      </c>
      <c r="C105" s="26">
        <v>0.73699999999999999</v>
      </c>
      <c r="D105" s="24">
        <f t="shared" si="3"/>
        <v>32701</v>
      </c>
      <c r="E105" s="23">
        <f t="shared" si="4"/>
        <v>28248</v>
      </c>
      <c r="F105" s="23">
        <f t="shared" si="5"/>
        <v>33115</v>
      </c>
      <c r="G105"/>
      <c r="H105"/>
      <c r="I105"/>
    </row>
    <row r="106" spans="1:9" x14ac:dyDescent="0.25">
      <c r="A106" s="27">
        <v>21500</v>
      </c>
      <c r="B106" s="25" t="s">
        <v>148</v>
      </c>
      <c r="C106" s="26">
        <v>0.71499999999999997</v>
      </c>
      <c r="D106" s="24">
        <f t="shared" si="3"/>
        <v>32349</v>
      </c>
      <c r="E106" s="23">
        <f t="shared" si="4"/>
        <v>28028</v>
      </c>
      <c r="F106" s="23">
        <f t="shared" si="5"/>
        <v>32750</v>
      </c>
      <c r="G106"/>
      <c r="H106"/>
      <c r="I106"/>
    </row>
    <row r="107" spans="1:9" x14ac:dyDescent="0.25">
      <c r="A107" s="27">
        <v>21660</v>
      </c>
      <c r="B107" s="25" t="s">
        <v>149</v>
      </c>
      <c r="C107" s="26">
        <v>0.98499999999999999</v>
      </c>
      <c r="D107" s="24">
        <f t="shared" si="3"/>
        <v>36675</v>
      </c>
      <c r="E107" s="23">
        <f t="shared" si="4"/>
        <v>30720</v>
      </c>
      <c r="F107" s="23">
        <f t="shared" si="5"/>
        <v>37233</v>
      </c>
      <c r="G107"/>
      <c r="H107"/>
      <c r="I107"/>
    </row>
    <row r="108" spans="1:9" x14ac:dyDescent="0.25">
      <c r="A108" s="27">
        <v>21780</v>
      </c>
      <c r="B108" s="25" t="s">
        <v>150</v>
      </c>
      <c r="C108" s="26">
        <v>0.76900000000000002</v>
      </c>
      <c r="D108" s="24">
        <f t="shared" si="3"/>
        <v>33214</v>
      </c>
      <c r="E108" s="23">
        <f t="shared" si="4"/>
        <v>28567</v>
      </c>
      <c r="F108" s="23">
        <f t="shared" si="5"/>
        <v>33646</v>
      </c>
      <c r="G108"/>
      <c r="H108"/>
      <c r="I108"/>
    </row>
    <row r="109" spans="1:9" x14ac:dyDescent="0.25">
      <c r="A109" s="27">
        <v>22001</v>
      </c>
      <c r="B109" s="25" t="s">
        <v>151</v>
      </c>
      <c r="C109" s="26">
        <v>0.70899999999999996</v>
      </c>
      <c r="D109" s="24">
        <f t="shared" si="3"/>
        <v>32253</v>
      </c>
      <c r="E109" s="23">
        <f t="shared" si="4"/>
        <v>27968</v>
      </c>
      <c r="F109" s="23">
        <f t="shared" si="5"/>
        <v>32650</v>
      </c>
      <c r="G109"/>
      <c r="H109"/>
      <c r="I109"/>
    </row>
    <row r="110" spans="1:9" x14ac:dyDescent="0.25">
      <c r="A110" s="27">
        <v>22002</v>
      </c>
      <c r="B110" s="25" t="s">
        <v>152</v>
      </c>
      <c r="C110" s="26">
        <v>0.60899999999999999</v>
      </c>
      <c r="D110" s="24">
        <f t="shared" si="3"/>
        <v>30651</v>
      </c>
      <c r="E110" s="23">
        <f t="shared" si="4"/>
        <v>26971</v>
      </c>
      <c r="F110" s="23">
        <f t="shared" si="5"/>
        <v>30990</v>
      </c>
      <c r="G110"/>
      <c r="H110"/>
      <c r="I110"/>
    </row>
    <row r="111" spans="1:9" x14ac:dyDescent="0.25">
      <c r="A111" s="27">
        <v>22020</v>
      </c>
      <c r="B111" s="25" t="s">
        <v>153</v>
      </c>
      <c r="C111" s="26">
        <v>0.73599999999999999</v>
      </c>
      <c r="D111" s="24">
        <f t="shared" si="3"/>
        <v>32685</v>
      </c>
      <c r="E111" s="23">
        <f t="shared" si="4"/>
        <v>28238</v>
      </c>
      <c r="F111" s="23">
        <f t="shared" si="5"/>
        <v>33098</v>
      </c>
      <c r="G111"/>
      <c r="H111"/>
      <c r="I111"/>
    </row>
    <row r="112" spans="1:9" x14ac:dyDescent="0.25">
      <c r="A112" s="27">
        <v>22140</v>
      </c>
      <c r="B112" s="25" t="s">
        <v>154</v>
      </c>
      <c r="C112" s="26">
        <v>0.67100000000000004</v>
      </c>
      <c r="D112" s="24">
        <f t="shared" si="3"/>
        <v>31644</v>
      </c>
      <c r="E112" s="23">
        <f t="shared" si="4"/>
        <v>27590</v>
      </c>
      <c r="F112" s="23">
        <f t="shared" si="5"/>
        <v>32019</v>
      </c>
      <c r="G112"/>
      <c r="H112"/>
      <c r="I112"/>
    </row>
    <row r="113" spans="1:9" x14ac:dyDescent="0.25">
      <c r="A113" s="27">
        <v>22180</v>
      </c>
      <c r="B113" s="25" t="s">
        <v>155</v>
      </c>
      <c r="C113" s="26">
        <v>0.78500000000000003</v>
      </c>
      <c r="D113" s="24">
        <f t="shared" si="3"/>
        <v>33470</v>
      </c>
      <c r="E113" s="23">
        <f t="shared" si="4"/>
        <v>28726</v>
      </c>
      <c r="F113" s="23">
        <f t="shared" si="5"/>
        <v>33912</v>
      </c>
      <c r="G113"/>
      <c r="H113"/>
      <c r="I113"/>
    </row>
    <row r="114" spans="1:9" x14ac:dyDescent="0.25">
      <c r="A114" s="27">
        <v>22220</v>
      </c>
      <c r="B114" s="25" t="s">
        <v>156</v>
      </c>
      <c r="C114" s="26">
        <v>0.75</v>
      </c>
      <c r="D114" s="24">
        <f t="shared" si="3"/>
        <v>32910</v>
      </c>
      <c r="E114" s="23">
        <f t="shared" si="4"/>
        <v>28377</v>
      </c>
      <c r="F114" s="23">
        <f t="shared" si="5"/>
        <v>33331</v>
      </c>
      <c r="G114"/>
      <c r="H114"/>
      <c r="I114"/>
    </row>
    <row r="115" spans="1:9" x14ac:dyDescent="0.25">
      <c r="A115" s="27">
        <v>22420</v>
      </c>
      <c r="B115" s="25" t="s">
        <v>157</v>
      </c>
      <c r="C115" s="26">
        <v>0.72299999999999998</v>
      </c>
      <c r="D115" s="24">
        <f t="shared" si="3"/>
        <v>32477</v>
      </c>
      <c r="E115" s="23">
        <f t="shared" si="4"/>
        <v>28108</v>
      </c>
      <c r="F115" s="23">
        <f t="shared" si="5"/>
        <v>32883</v>
      </c>
      <c r="G115"/>
      <c r="H115"/>
      <c r="I115"/>
    </row>
    <row r="116" spans="1:9" x14ac:dyDescent="0.25">
      <c r="A116" s="27">
        <v>22500</v>
      </c>
      <c r="B116" s="25" t="s">
        <v>158</v>
      </c>
      <c r="C116" s="26">
        <v>0.64800000000000002</v>
      </c>
      <c r="D116" s="24">
        <f t="shared" si="3"/>
        <v>31276</v>
      </c>
      <c r="E116" s="23">
        <f t="shared" si="4"/>
        <v>27360</v>
      </c>
      <c r="F116" s="23">
        <f t="shared" si="5"/>
        <v>31637</v>
      </c>
      <c r="G116"/>
      <c r="H116"/>
      <c r="I116"/>
    </row>
    <row r="117" spans="1:9" x14ac:dyDescent="0.25">
      <c r="A117" s="27">
        <v>22520</v>
      </c>
      <c r="B117" s="25" t="s">
        <v>159</v>
      </c>
      <c r="C117" s="26">
        <v>0.63800000000000001</v>
      </c>
      <c r="D117" s="24">
        <f t="shared" si="3"/>
        <v>31115</v>
      </c>
      <c r="E117" s="23">
        <f t="shared" si="4"/>
        <v>27260</v>
      </c>
      <c r="F117" s="23">
        <f t="shared" si="5"/>
        <v>31471</v>
      </c>
      <c r="G117"/>
      <c r="H117"/>
      <c r="I117"/>
    </row>
    <row r="118" spans="1:9" x14ac:dyDescent="0.25">
      <c r="A118" s="27">
        <v>22660</v>
      </c>
      <c r="B118" s="25" t="s">
        <v>160</v>
      </c>
      <c r="C118" s="26">
        <v>1.1830000000000001</v>
      </c>
      <c r="D118" s="24">
        <f t="shared" si="3"/>
        <v>39847</v>
      </c>
      <c r="E118" s="23">
        <f t="shared" si="4"/>
        <v>32695</v>
      </c>
      <c r="F118" s="23">
        <f t="shared" si="5"/>
        <v>40521</v>
      </c>
      <c r="G118"/>
      <c r="H118"/>
      <c r="I118"/>
    </row>
    <row r="119" spans="1:9" x14ac:dyDescent="0.25">
      <c r="A119" s="27">
        <v>22900</v>
      </c>
      <c r="B119" s="25" t="s">
        <v>161</v>
      </c>
      <c r="C119" s="26">
        <v>0.63100000000000001</v>
      </c>
      <c r="D119" s="24">
        <f t="shared" si="3"/>
        <v>31003</v>
      </c>
      <c r="E119" s="23">
        <f t="shared" si="4"/>
        <v>27191</v>
      </c>
      <c r="F119" s="23">
        <f t="shared" si="5"/>
        <v>31355</v>
      </c>
      <c r="G119"/>
      <c r="H119"/>
      <c r="I119"/>
    </row>
    <row r="120" spans="1:9" x14ac:dyDescent="0.25">
      <c r="A120" s="27">
        <v>23002</v>
      </c>
      <c r="B120" s="25" t="s">
        <v>162</v>
      </c>
      <c r="C120" s="26">
        <v>0.71</v>
      </c>
      <c r="D120" s="24">
        <f t="shared" si="3"/>
        <v>32269</v>
      </c>
      <c r="E120" s="23">
        <f t="shared" si="4"/>
        <v>27978</v>
      </c>
      <c r="F120" s="23">
        <f t="shared" si="5"/>
        <v>32667</v>
      </c>
      <c r="G120"/>
      <c r="H120"/>
      <c r="I120"/>
    </row>
    <row r="121" spans="1:9" x14ac:dyDescent="0.25">
      <c r="A121" s="27">
        <v>23060</v>
      </c>
      <c r="B121" s="25" t="s">
        <v>163</v>
      </c>
      <c r="C121" s="26">
        <v>0.74</v>
      </c>
      <c r="D121" s="24">
        <f t="shared" si="3"/>
        <v>32750</v>
      </c>
      <c r="E121" s="23">
        <f t="shared" si="4"/>
        <v>28278</v>
      </c>
      <c r="F121" s="23">
        <f t="shared" si="5"/>
        <v>33165</v>
      </c>
      <c r="G121"/>
      <c r="H121"/>
      <c r="I121"/>
    </row>
    <row r="122" spans="1:9" x14ac:dyDescent="0.25">
      <c r="A122" s="27">
        <v>23420</v>
      </c>
      <c r="B122" s="25" t="s">
        <v>164</v>
      </c>
      <c r="C122" s="26">
        <v>0.92500000000000004</v>
      </c>
      <c r="D122" s="24">
        <f t="shared" si="3"/>
        <v>35713</v>
      </c>
      <c r="E122" s="23">
        <f t="shared" si="4"/>
        <v>30122</v>
      </c>
      <c r="F122" s="23">
        <f t="shared" si="5"/>
        <v>36237</v>
      </c>
      <c r="G122"/>
      <c r="H122"/>
      <c r="I122"/>
    </row>
    <row r="123" spans="1:9" x14ac:dyDescent="0.25">
      <c r="A123" s="27">
        <v>23540</v>
      </c>
      <c r="B123" s="25" t="s">
        <v>165</v>
      </c>
      <c r="C123" s="26">
        <v>0.98099999999999998</v>
      </c>
      <c r="D123" s="24">
        <f t="shared" si="3"/>
        <v>36611</v>
      </c>
      <c r="E123" s="23">
        <f t="shared" si="4"/>
        <v>30681</v>
      </c>
      <c r="F123" s="23">
        <f t="shared" si="5"/>
        <v>37167</v>
      </c>
      <c r="G123"/>
      <c r="H123"/>
      <c r="I123"/>
    </row>
    <row r="124" spans="1:9" x14ac:dyDescent="0.25">
      <c r="A124" s="27">
        <v>23580</v>
      </c>
      <c r="B124" s="25" t="s">
        <v>166</v>
      </c>
      <c r="C124" s="26">
        <v>0.9</v>
      </c>
      <c r="D124" s="24">
        <f t="shared" si="3"/>
        <v>35313</v>
      </c>
      <c r="E124" s="23">
        <f t="shared" si="4"/>
        <v>29873</v>
      </c>
      <c r="F124" s="23">
        <f t="shared" si="5"/>
        <v>35822</v>
      </c>
      <c r="G124"/>
      <c r="H124"/>
      <c r="I124"/>
    </row>
    <row r="125" spans="1:9" x14ac:dyDescent="0.25">
      <c r="A125" s="27">
        <v>24002</v>
      </c>
      <c r="B125" s="25" t="s">
        <v>167</v>
      </c>
      <c r="C125" s="26">
        <v>0.81299999999999994</v>
      </c>
      <c r="D125" s="24">
        <f t="shared" si="3"/>
        <v>33919</v>
      </c>
      <c r="E125" s="23">
        <f t="shared" si="4"/>
        <v>29005</v>
      </c>
      <c r="F125" s="23">
        <f t="shared" si="5"/>
        <v>34377</v>
      </c>
      <c r="G125"/>
      <c r="H125"/>
      <c r="I125"/>
    </row>
    <row r="126" spans="1:9" x14ac:dyDescent="0.25">
      <c r="A126" s="27">
        <v>24020</v>
      </c>
      <c r="B126" s="25" t="s">
        <v>168</v>
      </c>
      <c r="C126" s="26">
        <v>0.82499999999999996</v>
      </c>
      <c r="D126" s="24">
        <f t="shared" si="3"/>
        <v>34111</v>
      </c>
      <c r="E126" s="23">
        <f t="shared" si="4"/>
        <v>29125</v>
      </c>
      <c r="F126" s="23">
        <f t="shared" si="5"/>
        <v>34576</v>
      </c>
      <c r="G126"/>
      <c r="H126"/>
      <c r="I126"/>
    </row>
    <row r="127" spans="1:9" x14ac:dyDescent="0.25">
      <c r="A127" s="27">
        <v>24140</v>
      </c>
      <c r="B127" s="25" t="s">
        <v>169</v>
      </c>
      <c r="C127" s="26">
        <v>0.70599999999999996</v>
      </c>
      <c r="D127" s="24">
        <f t="shared" si="3"/>
        <v>32205</v>
      </c>
      <c r="E127" s="23">
        <f t="shared" si="4"/>
        <v>27939</v>
      </c>
      <c r="F127" s="23">
        <f t="shared" si="5"/>
        <v>32600</v>
      </c>
      <c r="G127"/>
      <c r="H127"/>
      <c r="I127"/>
    </row>
    <row r="128" spans="1:9" x14ac:dyDescent="0.25">
      <c r="A128" s="27">
        <v>24340</v>
      </c>
      <c r="B128" s="25" t="s">
        <v>170</v>
      </c>
      <c r="C128" s="26">
        <v>0.877</v>
      </c>
      <c r="D128" s="24">
        <f t="shared" si="3"/>
        <v>34944</v>
      </c>
      <c r="E128" s="23">
        <f t="shared" si="4"/>
        <v>29644</v>
      </c>
      <c r="F128" s="23">
        <f t="shared" si="5"/>
        <v>35440</v>
      </c>
      <c r="G128"/>
      <c r="H128"/>
      <c r="I128"/>
    </row>
    <row r="129" spans="1:9" x14ac:dyDescent="0.25">
      <c r="A129" s="27">
        <v>24540</v>
      </c>
      <c r="B129" s="25" t="s">
        <v>171</v>
      </c>
      <c r="C129" s="26">
        <v>0.98199999999999998</v>
      </c>
      <c r="D129" s="24">
        <f t="shared" si="3"/>
        <v>36627</v>
      </c>
      <c r="E129" s="23">
        <f t="shared" si="4"/>
        <v>30691</v>
      </c>
      <c r="F129" s="23">
        <f t="shared" si="5"/>
        <v>37183</v>
      </c>
      <c r="G129"/>
      <c r="H129"/>
      <c r="I129"/>
    </row>
    <row r="130" spans="1:9" x14ac:dyDescent="0.25">
      <c r="A130" s="27">
        <v>24580</v>
      </c>
      <c r="B130" s="25" t="s">
        <v>172</v>
      </c>
      <c r="C130" s="26">
        <v>0.77</v>
      </c>
      <c r="D130" s="24">
        <f t="shared" si="3"/>
        <v>33230</v>
      </c>
      <c r="E130" s="23">
        <f t="shared" si="4"/>
        <v>28577</v>
      </c>
      <c r="F130" s="23">
        <f t="shared" si="5"/>
        <v>33663</v>
      </c>
      <c r="G130"/>
      <c r="H130"/>
      <c r="I130"/>
    </row>
    <row r="131" spans="1:9" x14ac:dyDescent="0.25">
      <c r="A131" s="27">
        <v>24660</v>
      </c>
      <c r="B131" s="25" t="s">
        <v>173</v>
      </c>
      <c r="C131" s="26">
        <v>0.75800000000000001</v>
      </c>
      <c r="D131" s="24">
        <f t="shared" si="3"/>
        <v>33038</v>
      </c>
      <c r="E131" s="23">
        <f t="shared" si="4"/>
        <v>28457</v>
      </c>
      <c r="F131" s="23">
        <f t="shared" si="5"/>
        <v>33464</v>
      </c>
      <c r="G131"/>
      <c r="H131"/>
      <c r="I131"/>
    </row>
    <row r="132" spans="1:9" x14ac:dyDescent="0.25">
      <c r="A132" s="27">
        <v>24780</v>
      </c>
      <c r="B132" s="25" t="s">
        <v>174</v>
      </c>
      <c r="C132" s="26">
        <v>0.71</v>
      </c>
      <c r="D132" s="24">
        <f t="shared" ref="D132:D195" si="6">ROUND((+$C132*D$2*0.434+(1-0.434)*D$2),0)</f>
        <v>32269</v>
      </c>
      <c r="E132" s="23">
        <f t="shared" ref="E132:E195" si="7">ROUND((+$C132*E$2*0.323+(1-0.323)*E$2),0)</f>
        <v>27978</v>
      </c>
      <c r="F132" s="23">
        <f t="shared" ref="F132:F195" si="8">ROUND((+$C132*F$2*0.443+(1-0.443)*F$2),0)</f>
        <v>32667</v>
      </c>
      <c r="G132"/>
      <c r="H132"/>
      <c r="I132"/>
    </row>
    <row r="133" spans="1:9" x14ac:dyDescent="0.25">
      <c r="A133" s="27">
        <v>24860</v>
      </c>
      <c r="B133" s="25" t="s">
        <v>175</v>
      </c>
      <c r="C133" s="26">
        <v>0.79500000000000004</v>
      </c>
      <c r="D133" s="24">
        <f t="shared" si="6"/>
        <v>33631</v>
      </c>
      <c r="E133" s="23">
        <f t="shared" si="7"/>
        <v>28826</v>
      </c>
      <c r="F133" s="23">
        <f t="shared" si="8"/>
        <v>34078</v>
      </c>
      <c r="G133"/>
      <c r="H133"/>
      <c r="I133"/>
    </row>
    <row r="134" spans="1:9" x14ac:dyDescent="0.25">
      <c r="A134" s="27">
        <v>25001</v>
      </c>
      <c r="B134" s="25" t="s">
        <v>176</v>
      </c>
      <c r="C134" s="26">
        <v>0.85899999999999999</v>
      </c>
      <c r="D134" s="24">
        <f t="shared" si="6"/>
        <v>34656</v>
      </c>
      <c r="E134" s="23">
        <f t="shared" si="7"/>
        <v>29464</v>
      </c>
      <c r="F134" s="23">
        <f t="shared" si="8"/>
        <v>35141</v>
      </c>
      <c r="G134"/>
      <c r="H134"/>
      <c r="I134"/>
    </row>
    <row r="135" spans="1:9" x14ac:dyDescent="0.25">
      <c r="A135" s="27">
        <v>25002</v>
      </c>
      <c r="B135" s="25" t="s">
        <v>177</v>
      </c>
      <c r="C135" s="26">
        <v>1.0429999999999999</v>
      </c>
      <c r="D135" s="24">
        <f t="shared" si="6"/>
        <v>37604</v>
      </c>
      <c r="E135" s="23">
        <f t="shared" si="7"/>
        <v>31299</v>
      </c>
      <c r="F135" s="23">
        <f t="shared" si="8"/>
        <v>38196</v>
      </c>
      <c r="G135"/>
      <c r="H135"/>
      <c r="I135"/>
    </row>
    <row r="136" spans="1:9" x14ac:dyDescent="0.25">
      <c r="A136" s="27">
        <v>25180</v>
      </c>
      <c r="B136" s="25" t="s">
        <v>178</v>
      </c>
      <c r="C136" s="26">
        <v>0.85799999999999998</v>
      </c>
      <c r="D136" s="24">
        <f t="shared" si="6"/>
        <v>34640</v>
      </c>
      <c r="E136" s="23">
        <f t="shared" si="7"/>
        <v>29454</v>
      </c>
      <c r="F136" s="23">
        <f t="shared" si="8"/>
        <v>35124</v>
      </c>
      <c r="G136"/>
      <c r="H136"/>
      <c r="I136"/>
    </row>
    <row r="137" spans="1:9" x14ac:dyDescent="0.25">
      <c r="A137" s="27">
        <v>25260</v>
      </c>
      <c r="B137" s="25" t="s">
        <v>179</v>
      </c>
      <c r="C137" s="26">
        <v>0.84499999999999997</v>
      </c>
      <c r="D137" s="24">
        <f t="shared" si="6"/>
        <v>34432</v>
      </c>
      <c r="E137" s="23">
        <f t="shared" si="7"/>
        <v>29324</v>
      </c>
      <c r="F137" s="23">
        <f t="shared" si="8"/>
        <v>34908</v>
      </c>
      <c r="G137"/>
      <c r="H137"/>
      <c r="I137"/>
    </row>
    <row r="138" spans="1:9" x14ac:dyDescent="0.25">
      <c r="A138" s="27">
        <v>25420</v>
      </c>
      <c r="B138" s="25" t="s">
        <v>180</v>
      </c>
      <c r="C138" s="26">
        <v>0.90600000000000003</v>
      </c>
      <c r="D138" s="24">
        <f t="shared" si="6"/>
        <v>35409</v>
      </c>
      <c r="E138" s="23">
        <f t="shared" si="7"/>
        <v>29933</v>
      </c>
      <c r="F138" s="23">
        <f t="shared" si="8"/>
        <v>35921</v>
      </c>
      <c r="G138"/>
      <c r="H138"/>
      <c r="I138"/>
    </row>
    <row r="139" spans="1:9" x14ac:dyDescent="0.25">
      <c r="A139" s="27">
        <v>25540</v>
      </c>
      <c r="B139" s="25" t="s">
        <v>181</v>
      </c>
      <c r="C139" s="26">
        <v>1.1160000000000001</v>
      </c>
      <c r="D139" s="24">
        <f t="shared" si="6"/>
        <v>38773</v>
      </c>
      <c r="E139" s="23">
        <f t="shared" si="7"/>
        <v>32027</v>
      </c>
      <c r="F139" s="23">
        <f t="shared" si="8"/>
        <v>39408</v>
      </c>
      <c r="G139"/>
      <c r="H139"/>
      <c r="I139"/>
    </row>
    <row r="140" spans="1:9" x14ac:dyDescent="0.25">
      <c r="A140" s="27">
        <v>25860</v>
      </c>
      <c r="B140" s="25" t="s">
        <v>182</v>
      </c>
      <c r="C140" s="26">
        <v>0.61499999999999999</v>
      </c>
      <c r="D140" s="24">
        <f t="shared" si="6"/>
        <v>30747</v>
      </c>
      <c r="E140" s="23">
        <f t="shared" si="7"/>
        <v>27031</v>
      </c>
      <c r="F140" s="23">
        <f t="shared" si="8"/>
        <v>31089</v>
      </c>
      <c r="G140"/>
      <c r="H140"/>
      <c r="I140"/>
    </row>
    <row r="141" spans="1:9" x14ac:dyDescent="0.25">
      <c r="A141" s="27">
        <v>25940</v>
      </c>
      <c r="B141" s="25" t="s">
        <v>183</v>
      </c>
      <c r="C141" s="26">
        <v>1.0609999999999999</v>
      </c>
      <c r="D141" s="24">
        <f t="shared" si="6"/>
        <v>37892</v>
      </c>
      <c r="E141" s="23">
        <f t="shared" si="7"/>
        <v>31478</v>
      </c>
      <c r="F141" s="23">
        <f t="shared" si="8"/>
        <v>38495</v>
      </c>
      <c r="G141"/>
      <c r="H141"/>
      <c r="I141"/>
    </row>
    <row r="142" spans="1:9" x14ac:dyDescent="0.25">
      <c r="A142" s="27">
        <v>26001</v>
      </c>
      <c r="B142" s="25" t="s">
        <v>184</v>
      </c>
      <c r="C142" s="26">
        <v>0.72199999999999998</v>
      </c>
      <c r="D142" s="24">
        <f t="shared" si="6"/>
        <v>32461</v>
      </c>
      <c r="E142" s="23">
        <f t="shared" si="7"/>
        <v>28098</v>
      </c>
      <c r="F142" s="23">
        <f t="shared" si="8"/>
        <v>32866</v>
      </c>
      <c r="G142"/>
      <c r="H142"/>
      <c r="I142"/>
    </row>
    <row r="143" spans="1:9" x14ac:dyDescent="0.25">
      <c r="A143" s="27">
        <v>26002</v>
      </c>
      <c r="B143" s="25" t="s">
        <v>185</v>
      </c>
      <c r="C143" s="26">
        <v>0.72699999999999998</v>
      </c>
      <c r="D143" s="24">
        <f t="shared" si="6"/>
        <v>32541</v>
      </c>
      <c r="E143" s="23">
        <f t="shared" si="7"/>
        <v>28148</v>
      </c>
      <c r="F143" s="23">
        <f t="shared" si="8"/>
        <v>32949</v>
      </c>
      <c r="G143"/>
      <c r="H143"/>
      <c r="I143"/>
    </row>
    <row r="144" spans="1:9" x14ac:dyDescent="0.25">
      <c r="A144" s="27">
        <v>26420</v>
      </c>
      <c r="B144" s="25" t="s">
        <v>186</v>
      </c>
      <c r="C144" s="26">
        <v>1.0309999999999999</v>
      </c>
      <c r="D144" s="24">
        <f t="shared" si="6"/>
        <v>37412</v>
      </c>
      <c r="E144" s="23">
        <f t="shared" si="7"/>
        <v>31179</v>
      </c>
      <c r="F144" s="23">
        <f t="shared" si="8"/>
        <v>37997</v>
      </c>
      <c r="G144"/>
      <c r="H144"/>
      <c r="I144"/>
    </row>
    <row r="145" spans="1:9" x14ac:dyDescent="0.25">
      <c r="A145" s="27">
        <v>26580</v>
      </c>
      <c r="B145" s="25" t="s">
        <v>187</v>
      </c>
      <c r="C145" s="26">
        <v>0.71399999999999997</v>
      </c>
      <c r="D145" s="24">
        <f t="shared" si="6"/>
        <v>32333</v>
      </c>
      <c r="E145" s="23">
        <f t="shared" si="7"/>
        <v>28018</v>
      </c>
      <c r="F145" s="23">
        <f t="shared" si="8"/>
        <v>32733</v>
      </c>
      <c r="G145"/>
      <c r="H145"/>
      <c r="I145"/>
    </row>
    <row r="146" spans="1:9" x14ac:dyDescent="0.25">
      <c r="A146" s="27">
        <v>26620</v>
      </c>
      <c r="B146" s="25" t="s">
        <v>188</v>
      </c>
      <c r="C146" s="26">
        <v>0.77800000000000002</v>
      </c>
      <c r="D146" s="24">
        <f t="shared" si="6"/>
        <v>33358</v>
      </c>
      <c r="E146" s="23">
        <f t="shared" si="7"/>
        <v>28656</v>
      </c>
      <c r="F146" s="23">
        <f t="shared" si="8"/>
        <v>33796</v>
      </c>
      <c r="G146"/>
      <c r="H146"/>
      <c r="I146"/>
    </row>
    <row r="147" spans="1:9" x14ac:dyDescent="0.25">
      <c r="A147" s="27">
        <v>26820</v>
      </c>
      <c r="B147" s="25" t="s">
        <v>189</v>
      </c>
      <c r="C147" s="26">
        <v>0.71899999999999997</v>
      </c>
      <c r="D147" s="24">
        <f t="shared" si="6"/>
        <v>32413</v>
      </c>
      <c r="E147" s="23">
        <f t="shared" si="7"/>
        <v>28068</v>
      </c>
      <c r="F147" s="23">
        <f t="shared" si="8"/>
        <v>32816</v>
      </c>
      <c r="G147"/>
      <c r="H147"/>
      <c r="I147"/>
    </row>
    <row r="148" spans="1:9" x14ac:dyDescent="0.25">
      <c r="A148" s="27">
        <v>26900</v>
      </c>
      <c r="B148" s="25" t="s">
        <v>190</v>
      </c>
      <c r="C148" s="26">
        <v>0.85199999999999998</v>
      </c>
      <c r="D148" s="24">
        <f t="shared" si="6"/>
        <v>34544</v>
      </c>
      <c r="E148" s="23">
        <f t="shared" si="7"/>
        <v>29394</v>
      </c>
      <c r="F148" s="23">
        <f t="shared" si="8"/>
        <v>35025</v>
      </c>
      <c r="G148"/>
      <c r="H148"/>
      <c r="I148"/>
    </row>
    <row r="149" spans="1:9" x14ac:dyDescent="0.25">
      <c r="A149" s="27">
        <v>26980</v>
      </c>
      <c r="B149" s="25" t="s">
        <v>191</v>
      </c>
      <c r="C149" s="26">
        <v>0.84</v>
      </c>
      <c r="D149" s="24">
        <f t="shared" si="6"/>
        <v>34352</v>
      </c>
      <c r="E149" s="23">
        <f t="shared" si="7"/>
        <v>29275</v>
      </c>
      <c r="F149" s="23">
        <f t="shared" si="8"/>
        <v>34825</v>
      </c>
      <c r="G149"/>
      <c r="H149"/>
      <c r="I149"/>
    </row>
    <row r="150" spans="1:9" x14ac:dyDescent="0.25">
      <c r="A150" s="27">
        <v>27001</v>
      </c>
      <c r="B150" s="25" t="s">
        <v>192</v>
      </c>
      <c r="C150" s="26">
        <v>0.79100000000000004</v>
      </c>
      <c r="D150" s="24">
        <f t="shared" si="6"/>
        <v>33567</v>
      </c>
      <c r="E150" s="23">
        <f t="shared" si="7"/>
        <v>28786</v>
      </c>
      <c r="F150" s="23">
        <f t="shared" si="8"/>
        <v>34012</v>
      </c>
      <c r="G150"/>
      <c r="H150"/>
      <c r="I150"/>
    </row>
    <row r="151" spans="1:9" x14ac:dyDescent="0.25">
      <c r="A151" s="27">
        <v>27002</v>
      </c>
      <c r="B151" s="25" t="s">
        <v>193</v>
      </c>
      <c r="C151" s="26">
        <v>0.72399999999999998</v>
      </c>
      <c r="D151" s="24">
        <f t="shared" si="6"/>
        <v>32493</v>
      </c>
      <c r="E151" s="23">
        <f t="shared" si="7"/>
        <v>28118</v>
      </c>
      <c r="F151" s="23">
        <f t="shared" si="8"/>
        <v>32899</v>
      </c>
      <c r="G151"/>
      <c r="H151"/>
      <c r="I151"/>
    </row>
    <row r="152" spans="1:9" x14ac:dyDescent="0.25">
      <c r="A152" s="27">
        <v>27100</v>
      </c>
      <c r="B152" s="25" t="s">
        <v>194</v>
      </c>
      <c r="C152" s="26">
        <v>0.72599999999999998</v>
      </c>
      <c r="D152" s="24">
        <f t="shared" si="6"/>
        <v>32525</v>
      </c>
      <c r="E152" s="23">
        <f t="shared" si="7"/>
        <v>28138</v>
      </c>
      <c r="F152" s="23">
        <f t="shared" si="8"/>
        <v>32932</v>
      </c>
      <c r="G152"/>
      <c r="H152"/>
      <c r="I152"/>
    </row>
    <row r="153" spans="1:9" x14ac:dyDescent="0.25">
      <c r="A153" s="27">
        <v>27140</v>
      </c>
      <c r="B153" s="25" t="s">
        <v>195</v>
      </c>
      <c r="C153" s="26">
        <v>0.81399999999999995</v>
      </c>
      <c r="D153" s="24">
        <f t="shared" si="6"/>
        <v>33935</v>
      </c>
      <c r="E153" s="23">
        <f t="shared" si="7"/>
        <v>29015</v>
      </c>
      <c r="F153" s="23">
        <f t="shared" si="8"/>
        <v>34394</v>
      </c>
      <c r="G153"/>
      <c r="H153"/>
      <c r="I153"/>
    </row>
    <row r="154" spans="1:9" x14ac:dyDescent="0.25">
      <c r="A154" s="27">
        <v>27260</v>
      </c>
      <c r="B154" s="25" t="s">
        <v>196</v>
      </c>
      <c r="C154" s="26">
        <v>1.0189999999999999</v>
      </c>
      <c r="D154" s="24">
        <f t="shared" si="6"/>
        <v>37219</v>
      </c>
      <c r="E154" s="23">
        <f t="shared" si="7"/>
        <v>31059</v>
      </c>
      <c r="F154" s="23">
        <f t="shared" si="8"/>
        <v>37797</v>
      </c>
      <c r="G154"/>
      <c r="H154"/>
      <c r="I154"/>
    </row>
    <row r="155" spans="1:9" x14ac:dyDescent="0.25">
      <c r="A155" s="27">
        <v>27340</v>
      </c>
      <c r="B155" s="25" t="s">
        <v>197</v>
      </c>
      <c r="C155" s="26">
        <v>0.76200000000000001</v>
      </c>
      <c r="D155" s="24">
        <f t="shared" si="6"/>
        <v>33102</v>
      </c>
      <c r="E155" s="23">
        <f t="shared" si="7"/>
        <v>28497</v>
      </c>
      <c r="F155" s="23">
        <f t="shared" si="8"/>
        <v>33530</v>
      </c>
      <c r="G155"/>
      <c r="H155"/>
      <c r="I155"/>
    </row>
    <row r="156" spans="1:9" x14ac:dyDescent="0.25">
      <c r="A156" s="27">
        <v>27500</v>
      </c>
      <c r="B156" s="25" t="s">
        <v>198</v>
      </c>
      <c r="C156" s="26">
        <v>0.78500000000000003</v>
      </c>
      <c r="D156" s="24">
        <f t="shared" si="6"/>
        <v>33470</v>
      </c>
      <c r="E156" s="23">
        <f t="shared" si="7"/>
        <v>28726</v>
      </c>
      <c r="F156" s="23">
        <f t="shared" si="8"/>
        <v>33912</v>
      </c>
      <c r="G156"/>
      <c r="H156"/>
      <c r="I156"/>
    </row>
    <row r="157" spans="1:9" x14ac:dyDescent="0.25">
      <c r="A157" s="27">
        <v>27740</v>
      </c>
      <c r="B157" s="25" t="s">
        <v>199</v>
      </c>
      <c r="C157" s="26">
        <v>0.67</v>
      </c>
      <c r="D157" s="24">
        <f t="shared" si="6"/>
        <v>31628</v>
      </c>
      <c r="E157" s="23">
        <f t="shared" si="7"/>
        <v>27580</v>
      </c>
      <c r="F157" s="23">
        <f t="shared" si="8"/>
        <v>32003</v>
      </c>
      <c r="G157"/>
      <c r="H157"/>
      <c r="I157"/>
    </row>
    <row r="158" spans="1:9" x14ac:dyDescent="0.25">
      <c r="A158" s="27">
        <v>27780</v>
      </c>
      <c r="B158" s="25" t="s">
        <v>200</v>
      </c>
      <c r="C158" s="26">
        <v>0.57699999999999996</v>
      </c>
      <c r="D158" s="24">
        <f t="shared" si="6"/>
        <v>30138</v>
      </c>
      <c r="E158" s="23">
        <f t="shared" si="7"/>
        <v>26652</v>
      </c>
      <c r="F158" s="23">
        <f t="shared" si="8"/>
        <v>30458</v>
      </c>
      <c r="G158"/>
      <c r="H158"/>
      <c r="I158"/>
    </row>
    <row r="159" spans="1:9" x14ac:dyDescent="0.25">
      <c r="A159" s="27">
        <v>27980</v>
      </c>
      <c r="B159" s="25" t="s">
        <v>201</v>
      </c>
      <c r="C159" s="26">
        <v>1.4650000000000001</v>
      </c>
      <c r="D159" s="24">
        <f t="shared" si="6"/>
        <v>44365</v>
      </c>
      <c r="E159" s="23">
        <f t="shared" si="7"/>
        <v>35507</v>
      </c>
      <c r="F159" s="23">
        <f t="shared" si="8"/>
        <v>45203</v>
      </c>
      <c r="G159"/>
      <c r="H159"/>
      <c r="I159"/>
    </row>
    <row r="160" spans="1:9" x14ac:dyDescent="0.25">
      <c r="A160" s="27">
        <v>28001</v>
      </c>
      <c r="B160" s="25" t="s">
        <v>202</v>
      </c>
      <c r="C160" s="26">
        <v>0.745</v>
      </c>
      <c r="D160" s="24">
        <f t="shared" si="6"/>
        <v>32830</v>
      </c>
      <c r="E160" s="23">
        <f t="shared" si="7"/>
        <v>28327</v>
      </c>
      <c r="F160" s="23">
        <f t="shared" si="8"/>
        <v>33248</v>
      </c>
      <c r="G160"/>
      <c r="H160"/>
      <c r="I160"/>
    </row>
    <row r="161" spans="1:9" x14ac:dyDescent="0.25">
      <c r="A161" s="27">
        <v>28002</v>
      </c>
      <c r="B161" s="25" t="s">
        <v>203</v>
      </c>
      <c r="C161" s="26">
        <v>0.60099999999999998</v>
      </c>
      <c r="D161" s="24">
        <f t="shared" si="6"/>
        <v>30523</v>
      </c>
      <c r="E161" s="23">
        <f t="shared" si="7"/>
        <v>26892</v>
      </c>
      <c r="F161" s="23">
        <f t="shared" si="8"/>
        <v>30857</v>
      </c>
      <c r="G161"/>
      <c r="H161"/>
      <c r="I161"/>
    </row>
    <row r="162" spans="1:9" x14ac:dyDescent="0.25">
      <c r="A162" s="27">
        <v>28020</v>
      </c>
      <c r="B162" s="25" t="s">
        <v>204</v>
      </c>
      <c r="C162" s="26">
        <v>0.80100000000000005</v>
      </c>
      <c r="D162" s="24">
        <f t="shared" si="6"/>
        <v>33727</v>
      </c>
      <c r="E162" s="23">
        <f t="shared" si="7"/>
        <v>28886</v>
      </c>
      <c r="F162" s="23">
        <f t="shared" si="8"/>
        <v>34178</v>
      </c>
      <c r="G162"/>
      <c r="H162"/>
      <c r="I162"/>
    </row>
    <row r="163" spans="1:9" x14ac:dyDescent="0.25">
      <c r="A163" s="27">
        <v>28140</v>
      </c>
      <c r="B163" s="25" t="s">
        <v>205</v>
      </c>
      <c r="C163" s="26">
        <v>0.90200000000000002</v>
      </c>
      <c r="D163" s="24">
        <f t="shared" si="6"/>
        <v>35345</v>
      </c>
      <c r="E163" s="23">
        <f t="shared" si="7"/>
        <v>29893</v>
      </c>
      <c r="F163" s="23">
        <f t="shared" si="8"/>
        <v>35855</v>
      </c>
      <c r="G163"/>
      <c r="H163"/>
      <c r="I163"/>
    </row>
    <row r="164" spans="1:9" x14ac:dyDescent="0.25">
      <c r="A164" s="27">
        <v>28420</v>
      </c>
      <c r="B164" s="25" t="s">
        <v>206</v>
      </c>
      <c r="C164" s="26">
        <v>0.92</v>
      </c>
      <c r="D164" s="24">
        <f t="shared" si="6"/>
        <v>35633</v>
      </c>
      <c r="E164" s="23">
        <f t="shared" si="7"/>
        <v>30072</v>
      </c>
      <c r="F164" s="23">
        <f t="shared" si="8"/>
        <v>36154</v>
      </c>
      <c r="G164"/>
      <c r="H164"/>
      <c r="I164"/>
    </row>
    <row r="165" spans="1:9" x14ac:dyDescent="0.25">
      <c r="A165" s="27">
        <v>28660</v>
      </c>
      <c r="B165" s="25" t="s">
        <v>207</v>
      </c>
      <c r="C165" s="26">
        <v>0.77</v>
      </c>
      <c r="D165" s="24">
        <f t="shared" si="6"/>
        <v>33230</v>
      </c>
      <c r="E165" s="23">
        <f t="shared" si="7"/>
        <v>28577</v>
      </c>
      <c r="F165" s="23">
        <f t="shared" si="8"/>
        <v>33663</v>
      </c>
      <c r="G165"/>
      <c r="H165"/>
      <c r="I165"/>
    </row>
    <row r="166" spans="1:9" x14ac:dyDescent="0.25">
      <c r="A166" s="27">
        <v>28700</v>
      </c>
      <c r="B166" s="25" t="s">
        <v>208</v>
      </c>
      <c r="C166" s="26">
        <v>0.61799999999999999</v>
      </c>
      <c r="D166" s="24">
        <f t="shared" si="6"/>
        <v>30795</v>
      </c>
      <c r="E166" s="23">
        <f t="shared" si="7"/>
        <v>27061</v>
      </c>
      <c r="F166" s="23">
        <f t="shared" si="8"/>
        <v>31139</v>
      </c>
      <c r="G166"/>
      <c r="H166"/>
      <c r="I166"/>
    </row>
    <row r="167" spans="1:9" x14ac:dyDescent="0.25">
      <c r="A167" s="27">
        <v>28940</v>
      </c>
      <c r="B167" s="25" t="s">
        <v>209</v>
      </c>
      <c r="C167" s="26">
        <v>0.78900000000000003</v>
      </c>
      <c r="D167" s="24">
        <f t="shared" si="6"/>
        <v>33535</v>
      </c>
      <c r="E167" s="23">
        <f t="shared" si="7"/>
        <v>28766</v>
      </c>
      <c r="F167" s="23">
        <f t="shared" si="8"/>
        <v>33978</v>
      </c>
      <c r="G167"/>
      <c r="H167"/>
      <c r="I167"/>
    </row>
    <row r="168" spans="1:9" x14ac:dyDescent="0.25">
      <c r="A168" s="27">
        <v>29001</v>
      </c>
      <c r="B168" s="25" t="s">
        <v>210</v>
      </c>
      <c r="C168" s="26">
        <v>0.61199999999999999</v>
      </c>
      <c r="D168" s="24">
        <f t="shared" si="6"/>
        <v>30699</v>
      </c>
      <c r="E168" s="23">
        <f t="shared" si="7"/>
        <v>27001</v>
      </c>
      <c r="F168" s="23">
        <f t="shared" si="8"/>
        <v>31039</v>
      </c>
      <c r="G168"/>
      <c r="H168"/>
      <c r="I168"/>
    </row>
    <row r="169" spans="1:9" x14ac:dyDescent="0.25">
      <c r="A169" s="27">
        <v>29002</v>
      </c>
      <c r="B169" s="25" t="s">
        <v>211</v>
      </c>
      <c r="C169" s="26">
        <v>0.627</v>
      </c>
      <c r="D169" s="24">
        <f t="shared" si="6"/>
        <v>30939</v>
      </c>
      <c r="E169" s="23">
        <f t="shared" si="7"/>
        <v>27151</v>
      </c>
      <c r="F169" s="23">
        <f t="shared" si="8"/>
        <v>31289</v>
      </c>
      <c r="G169"/>
      <c r="H169"/>
      <c r="I169"/>
    </row>
    <row r="170" spans="1:9" x14ac:dyDescent="0.25">
      <c r="A170" s="27">
        <v>29180</v>
      </c>
      <c r="B170" s="25" t="s">
        <v>212</v>
      </c>
      <c r="C170" s="26">
        <v>0.71799999999999997</v>
      </c>
      <c r="D170" s="24">
        <f t="shared" si="6"/>
        <v>32397</v>
      </c>
      <c r="E170" s="23">
        <f t="shared" si="7"/>
        <v>28058</v>
      </c>
      <c r="F170" s="23">
        <f t="shared" si="8"/>
        <v>32800</v>
      </c>
      <c r="G170"/>
      <c r="H170"/>
      <c r="I170"/>
    </row>
    <row r="171" spans="1:9" x14ac:dyDescent="0.25">
      <c r="A171" s="27">
        <v>29200</v>
      </c>
      <c r="B171" s="25" t="s">
        <v>213</v>
      </c>
      <c r="C171" s="26">
        <v>0.83399999999999996</v>
      </c>
      <c r="D171" s="24">
        <f t="shared" si="6"/>
        <v>34255</v>
      </c>
      <c r="E171" s="23">
        <f t="shared" si="7"/>
        <v>29215</v>
      </c>
      <c r="F171" s="23">
        <f t="shared" si="8"/>
        <v>34726</v>
      </c>
      <c r="G171"/>
      <c r="H171"/>
      <c r="I171"/>
    </row>
    <row r="172" spans="1:9" x14ac:dyDescent="0.25">
      <c r="A172" s="27">
        <v>29340</v>
      </c>
      <c r="B172" s="25" t="s">
        <v>214</v>
      </c>
      <c r="C172" s="26">
        <v>0.81699999999999995</v>
      </c>
      <c r="D172" s="24">
        <f t="shared" si="6"/>
        <v>33983</v>
      </c>
      <c r="E172" s="23">
        <f t="shared" si="7"/>
        <v>29045</v>
      </c>
      <c r="F172" s="23">
        <f t="shared" si="8"/>
        <v>34443</v>
      </c>
      <c r="G172"/>
      <c r="H172"/>
      <c r="I172"/>
    </row>
    <row r="173" spans="1:9" x14ac:dyDescent="0.25">
      <c r="A173" s="27">
        <v>29460</v>
      </c>
      <c r="B173" s="25" t="s">
        <v>215</v>
      </c>
      <c r="C173" s="26">
        <v>0.88600000000000001</v>
      </c>
      <c r="D173" s="24">
        <f t="shared" si="6"/>
        <v>35089</v>
      </c>
      <c r="E173" s="23">
        <f t="shared" si="7"/>
        <v>29733</v>
      </c>
      <c r="F173" s="23">
        <f t="shared" si="8"/>
        <v>35589</v>
      </c>
      <c r="G173"/>
      <c r="H173"/>
      <c r="I173"/>
    </row>
    <row r="174" spans="1:9" x14ac:dyDescent="0.25">
      <c r="A174" s="27">
        <v>29540</v>
      </c>
      <c r="B174" s="25" t="s">
        <v>216</v>
      </c>
      <c r="C174" s="26">
        <v>0.97799999999999998</v>
      </c>
      <c r="D174" s="24">
        <f t="shared" si="6"/>
        <v>36563</v>
      </c>
      <c r="E174" s="23">
        <f t="shared" si="7"/>
        <v>30651</v>
      </c>
      <c r="F174" s="23">
        <f t="shared" si="8"/>
        <v>37117</v>
      </c>
      <c r="G174"/>
      <c r="H174"/>
      <c r="I174"/>
    </row>
    <row r="175" spans="1:9" x14ac:dyDescent="0.25">
      <c r="A175" s="27">
        <v>29620</v>
      </c>
      <c r="B175" s="25" t="s">
        <v>217</v>
      </c>
      <c r="C175" s="26">
        <v>0.84399999999999997</v>
      </c>
      <c r="D175" s="24">
        <f t="shared" si="6"/>
        <v>34416</v>
      </c>
      <c r="E175" s="23">
        <f t="shared" si="7"/>
        <v>29315</v>
      </c>
      <c r="F175" s="23">
        <f t="shared" si="8"/>
        <v>34892</v>
      </c>
      <c r="G175"/>
      <c r="H175"/>
      <c r="I175"/>
    </row>
    <row r="176" spans="1:9" x14ac:dyDescent="0.25">
      <c r="A176" s="27">
        <v>29700</v>
      </c>
      <c r="B176" s="25" t="s">
        <v>218</v>
      </c>
      <c r="C176" s="26">
        <v>0.755</v>
      </c>
      <c r="D176" s="24">
        <f t="shared" si="6"/>
        <v>32990</v>
      </c>
      <c r="E176" s="23">
        <f t="shared" si="7"/>
        <v>28427</v>
      </c>
      <c r="F176" s="23">
        <f t="shared" si="8"/>
        <v>33414</v>
      </c>
      <c r="G176"/>
      <c r="H176"/>
      <c r="I176"/>
    </row>
    <row r="177" spans="1:9" x14ac:dyDescent="0.25">
      <c r="A177" s="27">
        <v>29740</v>
      </c>
      <c r="B177" s="25" t="s">
        <v>219</v>
      </c>
      <c r="C177" s="26">
        <v>0.63900000000000001</v>
      </c>
      <c r="D177" s="24">
        <f t="shared" si="6"/>
        <v>31131</v>
      </c>
      <c r="E177" s="23">
        <f t="shared" si="7"/>
        <v>27270</v>
      </c>
      <c r="F177" s="23">
        <f t="shared" si="8"/>
        <v>31488</v>
      </c>
      <c r="G177"/>
      <c r="H177"/>
      <c r="I177"/>
    </row>
    <row r="178" spans="1:9" x14ac:dyDescent="0.25">
      <c r="A178" s="27">
        <v>29820</v>
      </c>
      <c r="B178" s="25" t="s">
        <v>220</v>
      </c>
      <c r="C178" s="26">
        <v>1.0529999999999999</v>
      </c>
      <c r="D178" s="24">
        <f t="shared" si="6"/>
        <v>37764</v>
      </c>
      <c r="E178" s="23">
        <f t="shared" si="7"/>
        <v>31398</v>
      </c>
      <c r="F178" s="23">
        <f t="shared" si="8"/>
        <v>38362</v>
      </c>
      <c r="G178"/>
      <c r="H178"/>
      <c r="I178"/>
    </row>
    <row r="179" spans="1:9" x14ac:dyDescent="0.25">
      <c r="A179" s="27">
        <v>30001</v>
      </c>
      <c r="B179" s="25" t="s">
        <v>221</v>
      </c>
      <c r="C179" s="26">
        <v>0.80900000000000005</v>
      </c>
      <c r="D179" s="24">
        <f t="shared" si="6"/>
        <v>33855</v>
      </c>
      <c r="E179" s="23">
        <f t="shared" si="7"/>
        <v>28966</v>
      </c>
      <c r="F179" s="23">
        <f t="shared" si="8"/>
        <v>34311</v>
      </c>
      <c r="G179"/>
      <c r="H179"/>
      <c r="I179"/>
    </row>
    <row r="180" spans="1:9" x14ac:dyDescent="0.25">
      <c r="A180" s="27">
        <v>30002</v>
      </c>
      <c r="B180" s="25" t="s">
        <v>222</v>
      </c>
      <c r="C180" s="26">
        <v>0.80600000000000005</v>
      </c>
      <c r="D180" s="24">
        <f t="shared" si="6"/>
        <v>33807</v>
      </c>
      <c r="E180" s="23">
        <f t="shared" si="7"/>
        <v>28936</v>
      </c>
      <c r="F180" s="23">
        <f t="shared" si="8"/>
        <v>34261</v>
      </c>
      <c r="G180"/>
      <c r="H180"/>
      <c r="I180"/>
    </row>
    <row r="181" spans="1:9" x14ac:dyDescent="0.25">
      <c r="A181" s="27">
        <v>30340</v>
      </c>
      <c r="B181" s="25" t="s">
        <v>223</v>
      </c>
      <c r="C181" s="26">
        <v>0.76300000000000001</v>
      </c>
      <c r="D181" s="24">
        <f t="shared" si="6"/>
        <v>33118</v>
      </c>
      <c r="E181" s="23">
        <f t="shared" si="7"/>
        <v>28507</v>
      </c>
      <c r="F181" s="23">
        <f t="shared" si="8"/>
        <v>33547</v>
      </c>
      <c r="G181"/>
      <c r="H181"/>
      <c r="I181"/>
    </row>
    <row r="182" spans="1:9" x14ac:dyDescent="0.25">
      <c r="A182" s="27">
        <v>30460</v>
      </c>
      <c r="B182" s="25" t="s">
        <v>224</v>
      </c>
      <c r="C182" s="26">
        <v>0.81200000000000006</v>
      </c>
      <c r="D182" s="24">
        <f t="shared" si="6"/>
        <v>33903</v>
      </c>
      <c r="E182" s="23">
        <f t="shared" si="7"/>
        <v>28995</v>
      </c>
      <c r="F182" s="23">
        <f t="shared" si="8"/>
        <v>34360</v>
      </c>
      <c r="G182"/>
      <c r="H182"/>
      <c r="I182"/>
    </row>
    <row r="183" spans="1:9" x14ac:dyDescent="0.25">
      <c r="A183" s="27">
        <v>30780</v>
      </c>
      <c r="B183" s="25" t="s">
        <v>225</v>
      </c>
      <c r="C183" s="26">
        <v>0.74299999999999999</v>
      </c>
      <c r="D183" s="24">
        <f t="shared" si="6"/>
        <v>32798</v>
      </c>
      <c r="E183" s="23">
        <f t="shared" si="7"/>
        <v>28307</v>
      </c>
      <c r="F183" s="23">
        <f t="shared" si="8"/>
        <v>33215</v>
      </c>
      <c r="G183"/>
      <c r="H183"/>
      <c r="I183"/>
    </row>
    <row r="184" spans="1:9" x14ac:dyDescent="0.25">
      <c r="A184" s="27">
        <v>30980</v>
      </c>
      <c r="B184" s="25" t="s">
        <v>226</v>
      </c>
      <c r="C184" s="26">
        <v>0.77400000000000002</v>
      </c>
      <c r="D184" s="24">
        <f t="shared" si="6"/>
        <v>33294</v>
      </c>
      <c r="E184" s="23">
        <f t="shared" si="7"/>
        <v>28617</v>
      </c>
      <c r="F184" s="23">
        <f t="shared" si="8"/>
        <v>33729</v>
      </c>
      <c r="G184"/>
      <c r="H184"/>
      <c r="I184"/>
    </row>
    <row r="185" spans="1:9" x14ac:dyDescent="0.25">
      <c r="A185" s="27">
        <v>31001</v>
      </c>
      <c r="B185" s="25" t="s">
        <v>227</v>
      </c>
      <c r="C185" s="26">
        <v>0.79</v>
      </c>
      <c r="D185" s="24">
        <f t="shared" si="6"/>
        <v>33551</v>
      </c>
      <c r="E185" s="23">
        <f t="shared" si="7"/>
        <v>28776</v>
      </c>
      <c r="F185" s="23">
        <f t="shared" si="8"/>
        <v>33995</v>
      </c>
      <c r="G185"/>
      <c r="H185"/>
      <c r="I185"/>
    </row>
    <row r="186" spans="1:9" x14ac:dyDescent="0.25">
      <c r="A186" s="27">
        <v>31002</v>
      </c>
      <c r="B186" s="25" t="s">
        <v>228</v>
      </c>
      <c r="C186" s="26">
        <v>0.67</v>
      </c>
      <c r="D186" s="24">
        <f t="shared" si="6"/>
        <v>31628</v>
      </c>
      <c r="E186" s="23">
        <f t="shared" si="7"/>
        <v>27580</v>
      </c>
      <c r="F186" s="23">
        <f t="shared" si="8"/>
        <v>32003</v>
      </c>
      <c r="G186"/>
      <c r="H186"/>
      <c r="I186"/>
    </row>
    <row r="187" spans="1:9" x14ac:dyDescent="0.25">
      <c r="A187" s="27">
        <v>31080</v>
      </c>
      <c r="B187" s="25" t="s">
        <v>229</v>
      </c>
      <c r="C187" s="26">
        <v>1.6120000000000001</v>
      </c>
      <c r="D187" s="24">
        <f t="shared" si="6"/>
        <v>46720</v>
      </c>
      <c r="E187" s="23">
        <f t="shared" si="7"/>
        <v>36972</v>
      </c>
      <c r="F187" s="23">
        <f t="shared" si="8"/>
        <v>47644</v>
      </c>
      <c r="G187"/>
      <c r="H187"/>
      <c r="I187"/>
    </row>
    <row r="188" spans="1:9" x14ac:dyDescent="0.25">
      <c r="A188" s="27">
        <v>31140</v>
      </c>
      <c r="B188" s="25" t="s">
        <v>230</v>
      </c>
      <c r="C188" s="26">
        <v>0.82099999999999995</v>
      </c>
      <c r="D188" s="24">
        <f t="shared" si="6"/>
        <v>34047</v>
      </c>
      <c r="E188" s="23">
        <f t="shared" si="7"/>
        <v>29085</v>
      </c>
      <c r="F188" s="23">
        <f t="shared" si="8"/>
        <v>34510</v>
      </c>
      <c r="G188"/>
      <c r="H188"/>
      <c r="I188"/>
    </row>
    <row r="189" spans="1:9" x14ac:dyDescent="0.25">
      <c r="A189" s="27">
        <v>31180</v>
      </c>
      <c r="B189" s="25" t="s">
        <v>231</v>
      </c>
      <c r="C189" s="26">
        <v>0.82499999999999996</v>
      </c>
      <c r="D189" s="24">
        <f t="shared" si="6"/>
        <v>34111</v>
      </c>
      <c r="E189" s="23">
        <f t="shared" si="7"/>
        <v>29125</v>
      </c>
      <c r="F189" s="23">
        <f t="shared" si="8"/>
        <v>34576</v>
      </c>
      <c r="G189"/>
      <c r="H189"/>
      <c r="I189"/>
    </row>
    <row r="190" spans="1:9" x14ac:dyDescent="0.25">
      <c r="A190" s="27">
        <v>31420</v>
      </c>
      <c r="B190" s="25" t="s">
        <v>232</v>
      </c>
      <c r="C190" s="26">
        <v>0.76600000000000001</v>
      </c>
      <c r="D190" s="24">
        <f t="shared" si="6"/>
        <v>33166</v>
      </c>
      <c r="E190" s="23">
        <f t="shared" si="7"/>
        <v>28537</v>
      </c>
      <c r="F190" s="23">
        <f t="shared" si="8"/>
        <v>33597</v>
      </c>
      <c r="G190"/>
      <c r="H190"/>
      <c r="I190"/>
    </row>
    <row r="191" spans="1:9" x14ac:dyDescent="0.25">
      <c r="A191" s="27">
        <v>31540</v>
      </c>
      <c r="B191" s="25" t="s">
        <v>233</v>
      </c>
      <c r="C191" s="26">
        <v>1.01</v>
      </c>
      <c r="D191" s="24">
        <f t="shared" si="6"/>
        <v>37075</v>
      </c>
      <c r="E191" s="23">
        <f t="shared" si="7"/>
        <v>30970</v>
      </c>
      <c r="F191" s="23">
        <f t="shared" si="8"/>
        <v>37648</v>
      </c>
      <c r="G191"/>
      <c r="H191"/>
      <c r="I191"/>
    </row>
    <row r="192" spans="1:9" x14ac:dyDescent="0.25">
      <c r="A192" s="27">
        <v>31700</v>
      </c>
      <c r="B192" s="25" t="s">
        <v>234</v>
      </c>
      <c r="C192" s="26">
        <v>1.214</v>
      </c>
      <c r="D192" s="24">
        <f t="shared" si="6"/>
        <v>40344</v>
      </c>
      <c r="E192" s="23">
        <f t="shared" si="7"/>
        <v>33004</v>
      </c>
      <c r="F192" s="23">
        <f t="shared" si="8"/>
        <v>41035</v>
      </c>
      <c r="G192"/>
      <c r="H192"/>
      <c r="I192"/>
    </row>
    <row r="193" spans="1:9" x14ac:dyDescent="0.25">
      <c r="A193" s="27">
        <v>32001</v>
      </c>
      <c r="B193" s="25" t="s">
        <v>235</v>
      </c>
      <c r="C193" s="26">
        <v>1.1120000000000001</v>
      </c>
      <c r="D193" s="24">
        <f t="shared" si="6"/>
        <v>38709</v>
      </c>
      <c r="E193" s="23">
        <f t="shared" si="7"/>
        <v>31987</v>
      </c>
      <c r="F193" s="23">
        <f t="shared" si="8"/>
        <v>39342</v>
      </c>
      <c r="G193"/>
      <c r="H193"/>
      <c r="I193"/>
    </row>
    <row r="194" spans="1:9" x14ac:dyDescent="0.25">
      <c r="A194" s="27">
        <v>32002</v>
      </c>
      <c r="B194" s="25" t="s">
        <v>236</v>
      </c>
      <c r="C194" s="26">
        <v>0.86</v>
      </c>
      <c r="D194" s="24">
        <f t="shared" si="6"/>
        <v>34672</v>
      </c>
      <c r="E194" s="23">
        <f t="shared" si="7"/>
        <v>29474</v>
      </c>
      <c r="F194" s="23">
        <f t="shared" si="8"/>
        <v>35157</v>
      </c>
      <c r="G194"/>
      <c r="H194"/>
      <c r="I194"/>
    </row>
    <row r="195" spans="1:9" x14ac:dyDescent="0.25">
      <c r="A195" s="27">
        <v>32580</v>
      </c>
      <c r="B195" s="25" t="s">
        <v>237</v>
      </c>
      <c r="C195" s="26">
        <v>0.69399999999999995</v>
      </c>
      <c r="D195" s="24">
        <f t="shared" si="6"/>
        <v>32013</v>
      </c>
      <c r="E195" s="23">
        <f t="shared" si="7"/>
        <v>27819</v>
      </c>
      <c r="F195" s="23">
        <f t="shared" si="8"/>
        <v>32401</v>
      </c>
      <c r="G195"/>
      <c r="H195"/>
      <c r="I195"/>
    </row>
    <row r="196" spans="1:9" x14ac:dyDescent="0.25">
      <c r="A196" s="27">
        <v>32780</v>
      </c>
      <c r="B196" s="25" t="s">
        <v>238</v>
      </c>
      <c r="C196" s="26">
        <v>0.93100000000000005</v>
      </c>
      <c r="D196" s="24">
        <f t="shared" ref="D196:D259" si="9">ROUND((+$C196*D$2*0.434+(1-0.434)*D$2),0)</f>
        <v>35810</v>
      </c>
      <c r="E196" s="23">
        <f t="shared" ref="E196:E259" si="10">ROUND((+$C196*E$2*0.323+(1-0.323)*E$2),0)</f>
        <v>30182</v>
      </c>
      <c r="F196" s="23">
        <f t="shared" ref="F196:F259" si="11">ROUND((+$C196*F$2*0.443+(1-0.443)*F$2),0)</f>
        <v>36336</v>
      </c>
      <c r="G196"/>
      <c r="H196"/>
      <c r="I196"/>
    </row>
    <row r="197" spans="1:9" x14ac:dyDescent="0.25">
      <c r="A197" s="27">
        <v>32820</v>
      </c>
      <c r="B197" s="25" t="s">
        <v>239</v>
      </c>
      <c r="C197" s="26">
        <v>0.82299999999999995</v>
      </c>
      <c r="D197" s="24">
        <f t="shared" si="9"/>
        <v>34079</v>
      </c>
      <c r="E197" s="23">
        <f t="shared" si="10"/>
        <v>29105</v>
      </c>
      <c r="F197" s="23">
        <f t="shared" si="11"/>
        <v>34543</v>
      </c>
      <c r="G197"/>
      <c r="H197"/>
      <c r="I197"/>
    </row>
    <row r="198" spans="1:9" x14ac:dyDescent="0.25">
      <c r="A198" s="27">
        <v>33002</v>
      </c>
      <c r="B198" s="25" t="s">
        <v>240</v>
      </c>
      <c r="C198" s="26">
        <v>0.98599999999999999</v>
      </c>
      <c r="D198" s="24">
        <f t="shared" si="9"/>
        <v>36691</v>
      </c>
      <c r="E198" s="23">
        <f t="shared" si="10"/>
        <v>30730</v>
      </c>
      <c r="F198" s="23">
        <f t="shared" si="11"/>
        <v>37250</v>
      </c>
      <c r="G198"/>
      <c r="H198"/>
      <c r="I198"/>
    </row>
    <row r="199" spans="1:9" x14ac:dyDescent="0.25">
      <c r="A199" s="27">
        <v>33100</v>
      </c>
      <c r="B199" s="25" t="s">
        <v>241</v>
      </c>
      <c r="C199" s="26">
        <v>1.329</v>
      </c>
      <c r="D199" s="24">
        <f t="shared" si="9"/>
        <v>42186</v>
      </c>
      <c r="E199" s="23">
        <f t="shared" si="10"/>
        <v>34150</v>
      </c>
      <c r="F199" s="23">
        <f t="shared" si="11"/>
        <v>42945</v>
      </c>
      <c r="G199"/>
      <c r="H199"/>
      <c r="I199"/>
    </row>
    <row r="200" spans="1:9" x14ac:dyDescent="0.25">
      <c r="A200" s="27">
        <v>33340</v>
      </c>
      <c r="B200" s="25" t="s">
        <v>242</v>
      </c>
      <c r="C200" s="26">
        <v>0.85499999999999998</v>
      </c>
      <c r="D200" s="24">
        <f t="shared" si="9"/>
        <v>34592</v>
      </c>
      <c r="E200" s="23">
        <f t="shared" si="10"/>
        <v>29424</v>
      </c>
      <c r="F200" s="23">
        <f t="shared" si="11"/>
        <v>35074</v>
      </c>
      <c r="G200"/>
      <c r="H200"/>
      <c r="I200"/>
    </row>
    <row r="201" spans="1:9" x14ac:dyDescent="0.25">
      <c r="A201" s="27">
        <v>33460</v>
      </c>
      <c r="B201" s="25" t="s">
        <v>243</v>
      </c>
      <c r="C201" s="26">
        <v>1.1319999999999999</v>
      </c>
      <c r="D201" s="24">
        <f t="shared" si="9"/>
        <v>39030</v>
      </c>
      <c r="E201" s="23">
        <f t="shared" si="10"/>
        <v>32186</v>
      </c>
      <c r="F201" s="23">
        <f t="shared" si="11"/>
        <v>39674</v>
      </c>
      <c r="G201"/>
      <c r="H201"/>
      <c r="I201"/>
    </row>
    <row r="202" spans="1:9" x14ac:dyDescent="0.25">
      <c r="A202" s="27">
        <v>33660</v>
      </c>
      <c r="B202" s="25" t="s">
        <v>244</v>
      </c>
      <c r="C202" s="26">
        <v>0.751</v>
      </c>
      <c r="D202" s="24">
        <f t="shared" si="9"/>
        <v>32926</v>
      </c>
      <c r="E202" s="23">
        <f t="shared" si="10"/>
        <v>28387</v>
      </c>
      <c r="F202" s="23">
        <f t="shared" si="11"/>
        <v>33347</v>
      </c>
      <c r="G202"/>
      <c r="H202"/>
      <c r="I202"/>
    </row>
    <row r="203" spans="1:9" x14ac:dyDescent="0.25">
      <c r="A203" s="27">
        <v>33700</v>
      </c>
      <c r="B203" s="25" t="s">
        <v>245</v>
      </c>
      <c r="C203" s="26">
        <v>1.0489999999999999</v>
      </c>
      <c r="D203" s="24">
        <f t="shared" si="9"/>
        <v>37700</v>
      </c>
      <c r="E203" s="23">
        <f t="shared" si="10"/>
        <v>31359</v>
      </c>
      <c r="F203" s="23">
        <f t="shared" si="11"/>
        <v>38296</v>
      </c>
      <c r="G203"/>
      <c r="H203"/>
      <c r="I203"/>
    </row>
    <row r="204" spans="1:9" x14ac:dyDescent="0.25">
      <c r="A204" s="27">
        <v>33740</v>
      </c>
      <c r="B204" s="25" t="s">
        <v>246</v>
      </c>
      <c r="C204" s="26">
        <v>0.69199999999999995</v>
      </c>
      <c r="D204" s="24">
        <f t="shared" si="9"/>
        <v>31980</v>
      </c>
      <c r="E204" s="23">
        <f t="shared" si="10"/>
        <v>27799</v>
      </c>
      <c r="F204" s="23">
        <f t="shared" si="11"/>
        <v>32368</v>
      </c>
      <c r="G204"/>
      <c r="H204"/>
      <c r="I204"/>
    </row>
    <row r="205" spans="1:9" x14ac:dyDescent="0.25">
      <c r="A205" s="27">
        <v>33780</v>
      </c>
      <c r="B205" s="25" t="s">
        <v>247</v>
      </c>
      <c r="C205" s="26">
        <v>0.84399999999999997</v>
      </c>
      <c r="D205" s="24">
        <f t="shared" si="9"/>
        <v>34416</v>
      </c>
      <c r="E205" s="23">
        <f t="shared" si="10"/>
        <v>29315</v>
      </c>
      <c r="F205" s="23">
        <f t="shared" si="11"/>
        <v>34892</v>
      </c>
      <c r="G205"/>
      <c r="H205"/>
      <c r="I205"/>
    </row>
    <row r="206" spans="1:9" x14ac:dyDescent="0.25">
      <c r="A206" s="27">
        <v>33860</v>
      </c>
      <c r="B206" s="25" t="s">
        <v>248</v>
      </c>
      <c r="C206" s="26">
        <v>0.77100000000000002</v>
      </c>
      <c r="D206" s="24">
        <f t="shared" si="9"/>
        <v>33246</v>
      </c>
      <c r="E206" s="23">
        <f t="shared" si="10"/>
        <v>28587</v>
      </c>
      <c r="F206" s="23">
        <f t="shared" si="11"/>
        <v>33680</v>
      </c>
      <c r="G206"/>
      <c r="H206"/>
      <c r="I206"/>
    </row>
    <row r="207" spans="1:9" x14ac:dyDescent="0.25">
      <c r="A207" s="27">
        <v>34001</v>
      </c>
      <c r="B207" s="25" t="s">
        <v>385</v>
      </c>
      <c r="C207" s="26">
        <v>1.119</v>
      </c>
      <c r="D207" s="24">
        <f t="shared" si="9"/>
        <v>38822</v>
      </c>
      <c r="E207" s="23">
        <f t="shared" si="10"/>
        <v>32057</v>
      </c>
      <c r="F207" s="23">
        <f t="shared" si="11"/>
        <v>39458</v>
      </c>
      <c r="G207"/>
      <c r="H207"/>
      <c r="I207"/>
    </row>
    <row r="208" spans="1:9" x14ac:dyDescent="0.25">
      <c r="A208" s="27">
        <v>34060</v>
      </c>
      <c r="B208" s="25" t="s">
        <v>249</v>
      </c>
      <c r="C208" s="26">
        <v>0.77500000000000002</v>
      </c>
      <c r="D208" s="24">
        <f t="shared" si="9"/>
        <v>33310</v>
      </c>
      <c r="E208" s="23">
        <f t="shared" si="10"/>
        <v>28627</v>
      </c>
      <c r="F208" s="23">
        <f t="shared" si="11"/>
        <v>33746</v>
      </c>
      <c r="G208"/>
      <c r="H208"/>
      <c r="I208"/>
    </row>
    <row r="209" spans="1:9" x14ac:dyDescent="0.25">
      <c r="A209" s="27">
        <v>34580</v>
      </c>
      <c r="B209" s="25" t="s">
        <v>250</v>
      </c>
      <c r="C209" s="26">
        <v>1.034</v>
      </c>
      <c r="D209" s="24">
        <f t="shared" si="9"/>
        <v>37460</v>
      </c>
      <c r="E209" s="23">
        <f t="shared" si="10"/>
        <v>31209</v>
      </c>
      <c r="F209" s="23">
        <f t="shared" si="11"/>
        <v>38047</v>
      </c>
      <c r="G209"/>
      <c r="H209"/>
      <c r="I209"/>
    </row>
    <row r="210" spans="1:9" x14ac:dyDescent="0.25">
      <c r="A210" s="27">
        <v>34740</v>
      </c>
      <c r="B210" s="25" t="s">
        <v>251</v>
      </c>
      <c r="C210" s="26">
        <v>0.77</v>
      </c>
      <c r="D210" s="24">
        <f t="shared" si="9"/>
        <v>33230</v>
      </c>
      <c r="E210" s="23">
        <f t="shared" si="10"/>
        <v>28577</v>
      </c>
      <c r="F210" s="23">
        <f t="shared" si="11"/>
        <v>33663</v>
      </c>
      <c r="G210"/>
      <c r="H210"/>
      <c r="I210"/>
    </row>
    <row r="211" spans="1:9" x14ac:dyDescent="0.25">
      <c r="A211" s="27">
        <v>34820</v>
      </c>
      <c r="B211" s="25" t="s">
        <v>252</v>
      </c>
      <c r="C211" s="26">
        <v>0.85899999999999999</v>
      </c>
      <c r="D211" s="24">
        <f t="shared" si="9"/>
        <v>34656</v>
      </c>
      <c r="E211" s="23">
        <f t="shared" si="10"/>
        <v>29464</v>
      </c>
      <c r="F211" s="23">
        <f t="shared" si="11"/>
        <v>35141</v>
      </c>
      <c r="G211"/>
      <c r="H211"/>
      <c r="I211"/>
    </row>
    <row r="212" spans="1:9" x14ac:dyDescent="0.25">
      <c r="A212" s="27">
        <v>34940</v>
      </c>
      <c r="B212" s="25" t="s">
        <v>253</v>
      </c>
      <c r="C212" s="26">
        <v>1.2070000000000001</v>
      </c>
      <c r="D212" s="24">
        <f t="shared" si="9"/>
        <v>40231</v>
      </c>
      <c r="E212" s="23">
        <f t="shared" si="10"/>
        <v>32934</v>
      </c>
      <c r="F212" s="23">
        <f t="shared" si="11"/>
        <v>40919</v>
      </c>
      <c r="G212"/>
      <c r="H212"/>
      <c r="I212"/>
    </row>
    <row r="213" spans="1:9" x14ac:dyDescent="0.25">
      <c r="A213" s="27">
        <v>34980</v>
      </c>
      <c r="B213" s="25" t="s">
        <v>254</v>
      </c>
      <c r="C213" s="26">
        <v>1.0629999999999999</v>
      </c>
      <c r="D213" s="24">
        <f t="shared" si="9"/>
        <v>37924</v>
      </c>
      <c r="E213" s="23">
        <f t="shared" si="10"/>
        <v>31498</v>
      </c>
      <c r="F213" s="23">
        <f t="shared" si="11"/>
        <v>38528</v>
      </c>
      <c r="G213"/>
      <c r="H213"/>
      <c r="I213"/>
    </row>
    <row r="214" spans="1:9" x14ac:dyDescent="0.25">
      <c r="A214" s="27">
        <v>35002</v>
      </c>
      <c r="B214" s="25" t="s">
        <v>255</v>
      </c>
      <c r="C214" s="26">
        <v>0.65900000000000003</v>
      </c>
      <c r="D214" s="24">
        <f t="shared" si="9"/>
        <v>31452</v>
      </c>
      <c r="E214" s="23">
        <f t="shared" si="10"/>
        <v>27470</v>
      </c>
      <c r="F214" s="23">
        <f t="shared" si="11"/>
        <v>31820</v>
      </c>
      <c r="G214"/>
      <c r="H214"/>
      <c r="I214"/>
    </row>
    <row r="215" spans="1:9" x14ac:dyDescent="0.25">
      <c r="A215" s="27">
        <v>35300</v>
      </c>
      <c r="B215" s="25" t="s">
        <v>256</v>
      </c>
      <c r="C215" s="26">
        <v>1.1000000000000001</v>
      </c>
      <c r="D215" s="24">
        <f t="shared" si="9"/>
        <v>38517</v>
      </c>
      <c r="E215" s="23">
        <f t="shared" si="10"/>
        <v>31867</v>
      </c>
      <c r="F215" s="23">
        <f t="shared" si="11"/>
        <v>39142</v>
      </c>
      <c r="G215"/>
      <c r="H215"/>
      <c r="I215"/>
    </row>
    <row r="216" spans="1:9" x14ac:dyDescent="0.25">
      <c r="A216" s="27">
        <v>35380</v>
      </c>
      <c r="B216" s="25" t="s">
        <v>257</v>
      </c>
      <c r="C216" s="26">
        <v>0.91800000000000004</v>
      </c>
      <c r="D216" s="24">
        <f t="shared" si="9"/>
        <v>35601</v>
      </c>
      <c r="E216" s="23">
        <f t="shared" si="10"/>
        <v>30052</v>
      </c>
      <c r="F216" s="23">
        <f t="shared" si="11"/>
        <v>36120</v>
      </c>
      <c r="G216"/>
      <c r="H216"/>
      <c r="I216"/>
    </row>
    <row r="217" spans="1:9" x14ac:dyDescent="0.25">
      <c r="A217" s="27">
        <v>35620</v>
      </c>
      <c r="B217" s="25" t="s">
        <v>258</v>
      </c>
      <c r="C217" s="26">
        <v>1.39</v>
      </c>
      <c r="D217" s="24">
        <f t="shared" si="9"/>
        <v>43163</v>
      </c>
      <c r="E217" s="23">
        <f t="shared" si="10"/>
        <v>34759</v>
      </c>
      <c r="F217" s="23">
        <f t="shared" si="11"/>
        <v>43958</v>
      </c>
      <c r="G217"/>
      <c r="H217"/>
      <c r="I217"/>
    </row>
    <row r="218" spans="1:9" x14ac:dyDescent="0.25">
      <c r="A218" s="27">
        <v>35660</v>
      </c>
      <c r="B218" s="25" t="s">
        <v>259</v>
      </c>
      <c r="C218" s="26">
        <v>0.73699999999999999</v>
      </c>
      <c r="D218" s="24">
        <f t="shared" si="9"/>
        <v>32701</v>
      </c>
      <c r="E218" s="23">
        <f t="shared" si="10"/>
        <v>28248</v>
      </c>
      <c r="F218" s="23">
        <f t="shared" si="11"/>
        <v>33115</v>
      </c>
      <c r="G218"/>
      <c r="H218"/>
      <c r="I218"/>
    </row>
    <row r="219" spans="1:9" x14ac:dyDescent="0.25">
      <c r="A219" s="27">
        <v>35840</v>
      </c>
      <c r="B219" s="25" t="s">
        <v>260</v>
      </c>
      <c r="C219" s="26">
        <v>1.165</v>
      </c>
      <c r="D219" s="24">
        <f t="shared" si="9"/>
        <v>39558</v>
      </c>
      <c r="E219" s="23">
        <f t="shared" si="10"/>
        <v>32515</v>
      </c>
      <c r="F219" s="23">
        <f t="shared" si="11"/>
        <v>40222</v>
      </c>
      <c r="G219"/>
      <c r="H219"/>
      <c r="I219"/>
    </row>
    <row r="220" spans="1:9" x14ac:dyDescent="0.25">
      <c r="A220" s="27">
        <v>35980</v>
      </c>
      <c r="B220" s="25" t="s">
        <v>261</v>
      </c>
      <c r="C220" s="26">
        <v>1.048</v>
      </c>
      <c r="D220" s="24">
        <f t="shared" si="9"/>
        <v>37684</v>
      </c>
      <c r="E220" s="23">
        <f t="shared" si="10"/>
        <v>31349</v>
      </c>
      <c r="F220" s="23">
        <f t="shared" si="11"/>
        <v>38279</v>
      </c>
      <c r="G220"/>
      <c r="H220"/>
      <c r="I220"/>
    </row>
    <row r="221" spans="1:9" x14ac:dyDescent="0.25">
      <c r="A221" s="27">
        <v>36002</v>
      </c>
      <c r="B221" s="25" t="s">
        <v>262</v>
      </c>
      <c r="C221" s="26">
        <v>0.70099999999999996</v>
      </c>
      <c r="D221" s="24">
        <f t="shared" si="9"/>
        <v>32125</v>
      </c>
      <c r="E221" s="23">
        <f t="shared" si="10"/>
        <v>27889</v>
      </c>
      <c r="F221" s="23">
        <f t="shared" si="11"/>
        <v>32517</v>
      </c>
      <c r="G221"/>
      <c r="H221"/>
      <c r="I221"/>
    </row>
    <row r="222" spans="1:9" x14ac:dyDescent="0.25">
      <c r="A222" s="27">
        <v>36100</v>
      </c>
      <c r="B222" s="25" t="s">
        <v>263</v>
      </c>
      <c r="C222" s="26">
        <v>0.83799999999999997</v>
      </c>
      <c r="D222" s="24">
        <f t="shared" si="9"/>
        <v>34320</v>
      </c>
      <c r="E222" s="23">
        <f t="shared" si="10"/>
        <v>29255</v>
      </c>
      <c r="F222" s="23">
        <f t="shared" si="11"/>
        <v>34792</v>
      </c>
      <c r="G222"/>
      <c r="H222"/>
      <c r="I222"/>
    </row>
    <row r="223" spans="1:9" x14ac:dyDescent="0.25">
      <c r="A223" s="27">
        <v>36220</v>
      </c>
      <c r="B223" s="25" t="s">
        <v>264</v>
      </c>
      <c r="C223" s="26">
        <v>1.0149999999999999</v>
      </c>
      <c r="D223" s="24">
        <f t="shared" si="9"/>
        <v>37155</v>
      </c>
      <c r="E223" s="23">
        <f t="shared" si="10"/>
        <v>31020</v>
      </c>
      <c r="F223" s="23">
        <f t="shared" si="11"/>
        <v>37731</v>
      </c>
      <c r="G223"/>
      <c r="H223"/>
      <c r="I223"/>
    </row>
    <row r="224" spans="1:9" x14ac:dyDescent="0.25">
      <c r="A224" s="27">
        <v>36260</v>
      </c>
      <c r="B224" s="25" t="s">
        <v>265</v>
      </c>
      <c r="C224" s="26">
        <v>0.92100000000000004</v>
      </c>
      <c r="D224" s="24">
        <f t="shared" si="9"/>
        <v>35649</v>
      </c>
      <c r="E224" s="23">
        <f t="shared" si="10"/>
        <v>30082</v>
      </c>
      <c r="F224" s="23">
        <f t="shared" si="11"/>
        <v>36170</v>
      </c>
      <c r="G224"/>
      <c r="H224"/>
      <c r="I224"/>
    </row>
    <row r="225" spans="1:9" x14ac:dyDescent="0.25">
      <c r="A225" s="27">
        <v>36420</v>
      </c>
      <c r="B225" s="25" t="s">
        <v>266</v>
      </c>
      <c r="C225" s="26">
        <v>0.79800000000000004</v>
      </c>
      <c r="D225" s="24">
        <f t="shared" si="9"/>
        <v>33679</v>
      </c>
      <c r="E225" s="23">
        <f t="shared" si="10"/>
        <v>28856</v>
      </c>
      <c r="F225" s="23">
        <f t="shared" si="11"/>
        <v>34128</v>
      </c>
      <c r="G225"/>
      <c r="H225"/>
      <c r="I225"/>
    </row>
    <row r="226" spans="1:9" x14ac:dyDescent="0.25">
      <c r="A226" s="27">
        <v>36540</v>
      </c>
      <c r="B226" s="25" t="s">
        <v>267</v>
      </c>
      <c r="C226" s="26">
        <v>0.88</v>
      </c>
      <c r="D226" s="24">
        <f t="shared" si="9"/>
        <v>34992</v>
      </c>
      <c r="E226" s="23">
        <f t="shared" si="10"/>
        <v>29673</v>
      </c>
      <c r="F226" s="23">
        <f t="shared" si="11"/>
        <v>35489</v>
      </c>
      <c r="G226"/>
      <c r="H226"/>
      <c r="I226"/>
    </row>
    <row r="227" spans="1:9" x14ac:dyDescent="0.25">
      <c r="A227" s="27">
        <v>36740</v>
      </c>
      <c r="B227" s="25" t="s">
        <v>268</v>
      </c>
      <c r="C227" s="26">
        <v>1.1930000000000001</v>
      </c>
      <c r="D227" s="24">
        <f t="shared" si="9"/>
        <v>40007</v>
      </c>
      <c r="E227" s="23">
        <f t="shared" si="10"/>
        <v>32794</v>
      </c>
      <c r="F227" s="23">
        <f t="shared" si="11"/>
        <v>40687</v>
      </c>
      <c r="G227"/>
      <c r="H227"/>
      <c r="I227"/>
    </row>
    <row r="228" spans="1:9" x14ac:dyDescent="0.25">
      <c r="A228" s="27">
        <v>36780</v>
      </c>
      <c r="B228" s="25" t="s">
        <v>269</v>
      </c>
      <c r="C228" s="26">
        <v>0.72099999999999997</v>
      </c>
      <c r="D228" s="24">
        <f t="shared" si="9"/>
        <v>32445</v>
      </c>
      <c r="E228" s="23">
        <f t="shared" si="10"/>
        <v>28088</v>
      </c>
      <c r="F228" s="23">
        <f t="shared" si="11"/>
        <v>32849</v>
      </c>
      <c r="G228"/>
      <c r="H228"/>
      <c r="I228"/>
    </row>
    <row r="229" spans="1:9" x14ac:dyDescent="0.25">
      <c r="A229" s="27">
        <v>37001</v>
      </c>
      <c r="B229" s="25" t="s">
        <v>270</v>
      </c>
      <c r="C229" s="26">
        <v>0.78100000000000003</v>
      </c>
      <c r="D229" s="24">
        <f t="shared" si="9"/>
        <v>33406</v>
      </c>
      <c r="E229" s="23">
        <f t="shared" si="10"/>
        <v>28686</v>
      </c>
      <c r="F229" s="23">
        <f t="shared" si="11"/>
        <v>33846</v>
      </c>
      <c r="G229"/>
      <c r="H229"/>
      <c r="I229"/>
    </row>
    <row r="230" spans="1:9" x14ac:dyDescent="0.25">
      <c r="A230" s="27">
        <v>37002</v>
      </c>
      <c r="B230" s="25" t="s">
        <v>271</v>
      </c>
      <c r="C230" s="26">
        <v>0.624</v>
      </c>
      <c r="D230" s="24">
        <f t="shared" si="9"/>
        <v>30891</v>
      </c>
      <c r="E230" s="23">
        <f t="shared" si="10"/>
        <v>27121</v>
      </c>
      <c r="F230" s="23">
        <f t="shared" si="11"/>
        <v>31239</v>
      </c>
      <c r="G230"/>
      <c r="H230"/>
      <c r="I230"/>
    </row>
    <row r="231" spans="1:9" x14ac:dyDescent="0.25">
      <c r="A231" s="27">
        <v>37100</v>
      </c>
      <c r="B231" s="25" t="s">
        <v>272</v>
      </c>
      <c r="C231" s="26">
        <v>1.6479999999999999</v>
      </c>
      <c r="D231" s="24">
        <f t="shared" si="9"/>
        <v>47297</v>
      </c>
      <c r="E231" s="23">
        <f t="shared" si="10"/>
        <v>37331</v>
      </c>
      <c r="F231" s="23">
        <f t="shared" si="11"/>
        <v>48242</v>
      </c>
      <c r="G231"/>
      <c r="H231"/>
      <c r="I231"/>
    </row>
    <row r="232" spans="1:9" x14ac:dyDescent="0.25">
      <c r="A232" s="27">
        <v>37340</v>
      </c>
      <c r="B232" s="25" t="s">
        <v>273</v>
      </c>
      <c r="C232" s="26">
        <v>0.996</v>
      </c>
      <c r="D232" s="24">
        <f t="shared" si="9"/>
        <v>36851</v>
      </c>
      <c r="E232" s="23">
        <f t="shared" si="10"/>
        <v>30830</v>
      </c>
      <c r="F232" s="23">
        <f t="shared" si="11"/>
        <v>37416</v>
      </c>
      <c r="G232"/>
      <c r="H232"/>
      <c r="I232"/>
    </row>
    <row r="233" spans="1:9" x14ac:dyDescent="0.25">
      <c r="A233" s="27">
        <v>37460</v>
      </c>
      <c r="B233" s="25" t="s">
        <v>274</v>
      </c>
      <c r="C233" s="26">
        <v>1.028</v>
      </c>
      <c r="D233" s="24">
        <f t="shared" si="9"/>
        <v>37364</v>
      </c>
      <c r="E233" s="23">
        <f t="shared" si="10"/>
        <v>31149</v>
      </c>
      <c r="F233" s="23">
        <f t="shared" si="11"/>
        <v>37947</v>
      </c>
      <c r="G233"/>
      <c r="H233"/>
      <c r="I233"/>
    </row>
    <row r="234" spans="1:9" x14ac:dyDescent="0.25">
      <c r="A234" s="27">
        <v>37860</v>
      </c>
      <c r="B234" s="25" t="s">
        <v>275</v>
      </c>
      <c r="C234" s="26">
        <v>0.88400000000000001</v>
      </c>
      <c r="D234" s="24">
        <f t="shared" si="9"/>
        <v>35057</v>
      </c>
      <c r="E234" s="23">
        <f t="shared" si="10"/>
        <v>29713</v>
      </c>
      <c r="F234" s="23">
        <f t="shared" si="11"/>
        <v>35556</v>
      </c>
      <c r="G234"/>
      <c r="H234"/>
      <c r="I234"/>
    </row>
    <row r="235" spans="1:9" x14ac:dyDescent="0.25">
      <c r="A235" s="27">
        <v>37900</v>
      </c>
      <c r="B235" s="25" t="s">
        <v>276</v>
      </c>
      <c r="C235" s="26">
        <v>0.73799999999999999</v>
      </c>
      <c r="D235" s="24">
        <f t="shared" si="9"/>
        <v>32717</v>
      </c>
      <c r="E235" s="23">
        <f t="shared" si="10"/>
        <v>28258</v>
      </c>
      <c r="F235" s="23">
        <f t="shared" si="11"/>
        <v>33132</v>
      </c>
      <c r="G235"/>
      <c r="H235"/>
      <c r="I235"/>
    </row>
    <row r="236" spans="1:9" x14ac:dyDescent="0.25">
      <c r="A236" s="27">
        <v>37980</v>
      </c>
      <c r="B236" s="25" t="s">
        <v>277</v>
      </c>
      <c r="C236" s="26">
        <v>1.135</v>
      </c>
      <c r="D236" s="24">
        <f t="shared" si="9"/>
        <v>39078</v>
      </c>
      <c r="E236" s="23">
        <f t="shared" si="10"/>
        <v>32216</v>
      </c>
      <c r="F236" s="23">
        <f t="shared" si="11"/>
        <v>39724</v>
      </c>
      <c r="G236"/>
      <c r="H236"/>
      <c r="I236"/>
    </row>
    <row r="237" spans="1:9" x14ac:dyDescent="0.25">
      <c r="A237" s="27">
        <v>38001</v>
      </c>
      <c r="B237" s="25" t="s">
        <v>278</v>
      </c>
      <c r="C237" s="26">
        <v>0.73299999999999998</v>
      </c>
      <c r="D237" s="24">
        <f t="shared" si="9"/>
        <v>32637</v>
      </c>
      <c r="E237" s="23">
        <f t="shared" si="10"/>
        <v>28208</v>
      </c>
      <c r="F237" s="23">
        <f t="shared" si="11"/>
        <v>33049</v>
      </c>
      <c r="G237"/>
      <c r="H237"/>
      <c r="I237"/>
    </row>
    <row r="238" spans="1:9" x14ac:dyDescent="0.25">
      <c r="A238" s="27">
        <v>38002</v>
      </c>
      <c r="B238" s="25" t="s">
        <v>279</v>
      </c>
      <c r="C238" s="26">
        <v>0.71899999999999997</v>
      </c>
      <c r="D238" s="24">
        <f t="shared" si="9"/>
        <v>32413</v>
      </c>
      <c r="E238" s="23">
        <f t="shared" si="10"/>
        <v>28068</v>
      </c>
      <c r="F238" s="23">
        <f t="shared" si="11"/>
        <v>32816</v>
      </c>
      <c r="G238"/>
      <c r="H238"/>
      <c r="I238"/>
    </row>
    <row r="239" spans="1:9" x14ac:dyDescent="0.25">
      <c r="A239" s="27">
        <v>38060</v>
      </c>
      <c r="B239" s="25" t="s">
        <v>280</v>
      </c>
      <c r="C239" s="26">
        <v>1.119</v>
      </c>
      <c r="D239" s="24">
        <f t="shared" si="9"/>
        <v>38822</v>
      </c>
      <c r="E239" s="23">
        <f t="shared" si="10"/>
        <v>32057</v>
      </c>
      <c r="F239" s="23">
        <f t="shared" si="11"/>
        <v>39458</v>
      </c>
      <c r="G239"/>
      <c r="H239"/>
      <c r="I239"/>
    </row>
    <row r="240" spans="1:9" x14ac:dyDescent="0.25">
      <c r="A240" s="27">
        <v>38220</v>
      </c>
      <c r="B240" s="25" t="s">
        <v>281</v>
      </c>
      <c r="C240" s="26">
        <v>0.61899999999999999</v>
      </c>
      <c r="D240" s="24">
        <f t="shared" si="9"/>
        <v>30811</v>
      </c>
      <c r="E240" s="23">
        <f t="shared" si="10"/>
        <v>27071</v>
      </c>
      <c r="F240" s="23">
        <f t="shared" si="11"/>
        <v>31156</v>
      </c>
      <c r="G240"/>
      <c r="H240"/>
      <c r="I240"/>
    </row>
    <row r="241" spans="1:9" x14ac:dyDescent="0.25">
      <c r="A241" s="27">
        <v>38300</v>
      </c>
      <c r="B241" s="25" t="s">
        <v>282</v>
      </c>
      <c r="C241" s="26">
        <v>0.8</v>
      </c>
      <c r="D241" s="24">
        <f t="shared" si="9"/>
        <v>33711</v>
      </c>
      <c r="E241" s="23">
        <f t="shared" si="10"/>
        <v>28876</v>
      </c>
      <c r="F241" s="23">
        <f t="shared" si="11"/>
        <v>34161</v>
      </c>
      <c r="G241"/>
      <c r="H241"/>
      <c r="I241"/>
    </row>
    <row r="242" spans="1:9" x14ac:dyDescent="0.25">
      <c r="A242" s="27">
        <v>38860</v>
      </c>
      <c r="B242" s="25" t="s">
        <v>283</v>
      </c>
      <c r="C242" s="26">
        <v>1.109</v>
      </c>
      <c r="D242" s="24">
        <f t="shared" si="9"/>
        <v>38661</v>
      </c>
      <c r="E242" s="23">
        <f t="shared" si="10"/>
        <v>31957</v>
      </c>
      <c r="F242" s="23">
        <f t="shared" si="11"/>
        <v>39292</v>
      </c>
      <c r="G242"/>
      <c r="H242"/>
      <c r="I242"/>
    </row>
    <row r="243" spans="1:9" x14ac:dyDescent="0.25">
      <c r="A243" s="27">
        <v>38900</v>
      </c>
      <c r="B243" s="25" t="s">
        <v>284</v>
      </c>
      <c r="C243" s="26">
        <v>1.25</v>
      </c>
      <c r="D243" s="24">
        <f t="shared" si="9"/>
        <v>40920</v>
      </c>
      <c r="E243" s="23">
        <f t="shared" si="10"/>
        <v>33363</v>
      </c>
      <c r="F243" s="23">
        <f t="shared" si="11"/>
        <v>41633</v>
      </c>
      <c r="G243"/>
      <c r="H243"/>
      <c r="I243"/>
    </row>
    <row r="244" spans="1:9" x14ac:dyDescent="0.25">
      <c r="A244" s="27">
        <v>38940</v>
      </c>
      <c r="B244" s="25" t="s">
        <v>285</v>
      </c>
      <c r="C244" s="26">
        <v>1.0309999999999999</v>
      </c>
      <c r="D244" s="24">
        <f t="shared" si="9"/>
        <v>37412</v>
      </c>
      <c r="E244" s="23">
        <f t="shared" si="10"/>
        <v>31179</v>
      </c>
      <c r="F244" s="23">
        <f t="shared" si="11"/>
        <v>37997</v>
      </c>
      <c r="G244"/>
      <c r="H244"/>
      <c r="I244"/>
    </row>
    <row r="245" spans="1:9" x14ac:dyDescent="0.25">
      <c r="A245" s="27">
        <v>39001</v>
      </c>
      <c r="B245" s="25" t="s">
        <v>286</v>
      </c>
      <c r="C245" s="26">
        <v>0.65200000000000002</v>
      </c>
      <c r="D245" s="24">
        <f t="shared" si="9"/>
        <v>31340</v>
      </c>
      <c r="E245" s="23">
        <f t="shared" si="10"/>
        <v>27400</v>
      </c>
      <c r="F245" s="23">
        <f t="shared" si="11"/>
        <v>31704</v>
      </c>
      <c r="G245"/>
      <c r="H245"/>
      <c r="I245"/>
    </row>
    <row r="246" spans="1:9" x14ac:dyDescent="0.25">
      <c r="A246" s="27">
        <v>39002</v>
      </c>
      <c r="B246" s="25" t="s">
        <v>287</v>
      </c>
      <c r="C246" s="26">
        <v>0.625</v>
      </c>
      <c r="D246" s="24">
        <f t="shared" si="9"/>
        <v>30907</v>
      </c>
      <c r="E246" s="23">
        <f t="shared" si="10"/>
        <v>27131</v>
      </c>
      <c r="F246" s="23">
        <f t="shared" si="11"/>
        <v>31255</v>
      </c>
      <c r="G246"/>
      <c r="H246"/>
      <c r="I246"/>
    </row>
    <row r="247" spans="1:9" x14ac:dyDescent="0.25">
      <c r="A247" s="27">
        <v>39140</v>
      </c>
      <c r="B247" s="25" t="s">
        <v>288</v>
      </c>
      <c r="C247" s="26">
        <v>0.90800000000000003</v>
      </c>
      <c r="D247" s="24">
        <f t="shared" si="9"/>
        <v>35441</v>
      </c>
      <c r="E247" s="23">
        <f t="shared" si="10"/>
        <v>29953</v>
      </c>
      <c r="F247" s="23">
        <f t="shared" si="11"/>
        <v>35954</v>
      </c>
      <c r="G247"/>
      <c r="H247"/>
      <c r="I247"/>
    </row>
    <row r="248" spans="1:9" x14ac:dyDescent="0.25">
      <c r="A248" s="27">
        <v>39300</v>
      </c>
      <c r="B248" s="25" t="s">
        <v>289</v>
      </c>
      <c r="C248" s="26">
        <v>0.97699999999999998</v>
      </c>
      <c r="D248" s="24">
        <f t="shared" si="9"/>
        <v>36547</v>
      </c>
      <c r="E248" s="23">
        <f t="shared" si="10"/>
        <v>30641</v>
      </c>
      <c r="F248" s="23">
        <f t="shared" si="11"/>
        <v>37100</v>
      </c>
      <c r="G248"/>
      <c r="H248"/>
      <c r="I248"/>
    </row>
    <row r="249" spans="1:9" x14ac:dyDescent="0.25">
      <c r="A249" s="27">
        <v>39340</v>
      </c>
      <c r="B249" s="25" t="s">
        <v>290</v>
      </c>
      <c r="C249" s="26">
        <v>0.88800000000000001</v>
      </c>
      <c r="D249" s="24">
        <f t="shared" si="9"/>
        <v>35121</v>
      </c>
      <c r="E249" s="23">
        <f t="shared" si="10"/>
        <v>29753</v>
      </c>
      <c r="F249" s="23">
        <f t="shared" si="11"/>
        <v>35622</v>
      </c>
      <c r="G249"/>
      <c r="H249"/>
      <c r="I249"/>
    </row>
    <row r="250" spans="1:9" x14ac:dyDescent="0.25">
      <c r="A250" s="27">
        <v>39540</v>
      </c>
      <c r="B250" s="25" t="s">
        <v>291</v>
      </c>
      <c r="C250" s="26">
        <v>0.78500000000000003</v>
      </c>
      <c r="D250" s="24">
        <f t="shared" si="9"/>
        <v>33470</v>
      </c>
      <c r="E250" s="23">
        <f t="shared" si="10"/>
        <v>28726</v>
      </c>
      <c r="F250" s="23">
        <f t="shared" si="11"/>
        <v>33912</v>
      </c>
      <c r="G250"/>
      <c r="H250"/>
      <c r="I250"/>
    </row>
    <row r="251" spans="1:9" x14ac:dyDescent="0.25">
      <c r="A251" s="27">
        <v>39580</v>
      </c>
      <c r="B251" s="25" t="s">
        <v>292</v>
      </c>
      <c r="C251" s="26">
        <v>1.0620000000000001</v>
      </c>
      <c r="D251" s="24">
        <f t="shared" si="9"/>
        <v>37908</v>
      </c>
      <c r="E251" s="23">
        <f t="shared" si="10"/>
        <v>31488</v>
      </c>
      <c r="F251" s="23">
        <f t="shared" si="11"/>
        <v>38511</v>
      </c>
      <c r="G251"/>
      <c r="H251"/>
      <c r="I251"/>
    </row>
    <row r="252" spans="1:9" x14ac:dyDescent="0.25">
      <c r="A252" s="27">
        <v>39740</v>
      </c>
      <c r="B252" s="25" t="s">
        <v>293</v>
      </c>
      <c r="C252" s="26">
        <v>0.89900000000000002</v>
      </c>
      <c r="D252" s="24">
        <f t="shared" si="9"/>
        <v>35297</v>
      </c>
      <c r="E252" s="23">
        <f t="shared" si="10"/>
        <v>29863</v>
      </c>
      <c r="F252" s="23">
        <f t="shared" si="11"/>
        <v>35805</v>
      </c>
      <c r="G252"/>
      <c r="H252"/>
      <c r="I252"/>
    </row>
    <row r="253" spans="1:9" x14ac:dyDescent="0.25">
      <c r="A253" s="27">
        <v>39820</v>
      </c>
      <c r="B253" s="25" t="s">
        <v>294</v>
      </c>
      <c r="C253" s="26">
        <v>0.93100000000000005</v>
      </c>
      <c r="D253" s="24">
        <f t="shared" si="9"/>
        <v>35810</v>
      </c>
      <c r="E253" s="23">
        <f t="shared" si="10"/>
        <v>30182</v>
      </c>
      <c r="F253" s="23">
        <f t="shared" si="11"/>
        <v>36336</v>
      </c>
      <c r="G253"/>
      <c r="H253"/>
      <c r="I253"/>
    </row>
    <row r="254" spans="1:9" x14ac:dyDescent="0.25">
      <c r="A254" s="27">
        <v>40001</v>
      </c>
      <c r="B254" s="25" t="s">
        <v>386</v>
      </c>
      <c r="C254" s="26">
        <v>0.53</v>
      </c>
      <c r="D254" s="24">
        <f t="shared" si="9"/>
        <v>29385</v>
      </c>
      <c r="E254" s="23">
        <f t="shared" si="10"/>
        <v>26184</v>
      </c>
      <c r="F254" s="23">
        <f t="shared" si="11"/>
        <v>29678</v>
      </c>
      <c r="G254"/>
      <c r="H254"/>
      <c r="I254"/>
    </row>
    <row r="255" spans="1:9" x14ac:dyDescent="0.25">
      <c r="A255" s="27">
        <v>40002</v>
      </c>
      <c r="B255" s="25" t="s">
        <v>295</v>
      </c>
      <c r="C255" s="26">
        <v>0.65</v>
      </c>
      <c r="D255" s="24">
        <f t="shared" si="9"/>
        <v>31308</v>
      </c>
      <c r="E255" s="23">
        <f t="shared" si="10"/>
        <v>27380</v>
      </c>
      <c r="F255" s="23">
        <f t="shared" si="11"/>
        <v>31670</v>
      </c>
      <c r="G255"/>
      <c r="H255"/>
      <c r="I255"/>
    </row>
    <row r="256" spans="1:9" x14ac:dyDescent="0.25">
      <c r="A256" s="27">
        <v>40060</v>
      </c>
      <c r="B256" s="25" t="s">
        <v>296</v>
      </c>
      <c r="C256" s="26">
        <v>1.022</v>
      </c>
      <c r="D256" s="24">
        <f t="shared" si="9"/>
        <v>37267</v>
      </c>
      <c r="E256" s="23">
        <f t="shared" si="10"/>
        <v>31089</v>
      </c>
      <c r="F256" s="23">
        <f t="shared" si="11"/>
        <v>37847</v>
      </c>
      <c r="G256"/>
      <c r="H256"/>
      <c r="I256"/>
    </row>
    <row r="257" spans="1:9" x14ac:dyDescent="0.25">
      <c r="A257" s="27">
        <v>40140</v>
      </c>
      <c r="B257" s="25" t="s">
        <v>297</v>
      </c>
      <c r="C257" s="26">
        <v>1.226</v>
      </c>
      <c r="D257" s="24">
        <f t="shared" si="9"/>
        <v>40536</v>
      </c>
      <c r="E257" s="23">
        <f t="shared" si="10"/>
        <v>33123</v>
      </c>
      <c r="F257" s="23">
        <f t="shared" si="11"/>
        <v>41235</v>
      </c>
      <c r="G257"/>
      <c r="H257"/>
      <c r="I257"/>
    </row>
    <row r="258" spans="1:9" x14ac:dyDescent="0.25">
      <c r="A258" s="27">
        <v>40220</v>
      </c>
      <c r="B258" s="25" t="s">
        <v>298</v>
      </c>
      <c r="C258" s="26">
        <v>0.746</v>
      </c>
      <c r="D258" s="24">
        <f t="shared" si="9"/>
        <v>32846</v>
      </c>
      <c r="E258" s="23">
        <f t="shared" si="10"/>
        <v>28337</v>
      </c>
      <c r="F258" s="23">
        <f t="shared" si="11"/>
        <v>33264</v>
      </c>
      <c r="G258"/>
      <c r="H258"/>
      <c r="I258"/>
    </row>
    <row r="259" spans="1:9" x14ac:dyDescent="0.25">
      <c r="A259" s="27">
        <v>40380</v>
      </c>
      <c r="B259" s="25" t="s">
        <v>299</v>
      </c>
      <c r="C259" s="26">
        <v>0.88400000000000001</v>
      </c>
      <c r="D259" s="24">
        <f t="shared" si="9"/>
        <v>35057</v>
      </c>
      <c r="E259" s="23">
        <f t="shared" si="10"/>
        <v>29713</v>
      </c>
      <c r="F259" s="23">
        <f t="shared" si="11"/>
        <v>35556</v>
      </c>
      <c r="G259"/>
      <c r="H259"/>
      <c r="I259"/>
    </row>
    <row r="260" spans="1:9" x14ac:dyDescent="0.25">
      <c r="A260" s="27">
        <v>40420</v>
      </c>
      <c r="B260" s="25" t="s">
        <v>300</v>
      </c>
      <c r="C260" s="26">
        <v>0.755</v>
      </c>
      <c r="D260" s="24">
        <f t="shared" ref="D260:D322" si="12">ROUND((+$C260*D$2*0.434+(1-0.434)*D$2),0)</f>
        <v>32990</v>
      </c>
      <c r="E260" s="23">
        <f t="shared" ref="E260:E322" si="13">ROUND((+$C260*E$2*0.323+(1-0.323)*E$2),0)</f>
        <v>28427</v>
      </c>
      <c r="F260" s="23">
        <f t="shared" ref="F260:F322" si="14">ROUND((+$C260*F$2*0.443+(1-0.443)*F$2),0)</f>
        <v>33414</v>
      </c>
      <c r="G260"/>
      <c r="H260"/>
      <c r="I260"/>
    </row>
    <row r="261" spans="1:9" x14ac:dyDescent="0.25">
      <c r="A261" s="27">
        <v>40900</v>
      </c>
      <c r="B261" s="25" t="s">
        <v>301</v>
      </c>
      <c r="C261" s="26">
        <v>1.278</v>
      </c>
      <c r="D261" s="24">
        <f t="shared" si="12"/>
        <v>41369</v>
      </c>
      <c r="E261" s="23">
        <f t="shared" si="13"/>
        <v>33642</v>
      </c>
      <c r="F261" s="23">
        <f t="shared" si="14"/>
        <v>42098</v>
      </c>
      <c r="G261"/>
      <c r="H261"/>
      <c r="I261"/>
    </row>
    <row r="262" spans="1:9" x14ac:dyDescent="0.25">
      <c r="A262" s="27">
        <v>40980</v>
      </c>
      <c r="B262" s="25" t="s">
        <v>302</v>
      </c>
      <c r="C262" s="26">
        <v>0.69799999999999995</v>
      </c>
      <c r="D262" s="24">
        <f t="shared" si="12"/>
        <v>32077</v>
      </c>
      <c r="E262" s="23">
        <f t="shared" si="13"/>
        <v>27859</v>
      </c>
      <c r="F262" s="23">
        <f t="shared" si="14"/>
        <v>32467</v>
      </c>
      <c r="G262"/>
      <c r="H262"/>
      <c r="I262"/>
    </row>
    <row r="263" spans="1:9" x14ac:dyDescent="0.25">
      <c r="A263" s="27">
        <v>41001</v>
      </c>
      <c r="B263" s="25" t="s">
        <v>303</v>
      </c>
      <c r="C263" s="26">
        <v>0.97899999999999998</v>
      </c>
      <c r="D263" s="24">
        <f t="shared" si="12"/>
        <v>36579</v>
      </c>
      <c r="E263" s="23">
        <f t="shared" si="13"/>
        <v>30661</v>
      </c>
      <c r="F263" s="23">
        <f t="shared" si="14"/>
        <v>37133</v>
      </c>
      <c r="G263"/>
      <c r="H263"/>
      <c r="I263"/>
    </row>
    <row r="264" spans="1:9" x14ac:dyDescent="0.25">
      <c r="A264" s="27">
        <v>41002</v>
      </c>
      <c r="B264" s="25" t="s">
        <v>304</v>
      </c>
      <c r="C264" s="26">
        <v>0.79200000000000004</v>
      </c>
      <c r="D264" s="24">
        <f t="shared" si="12"/>
        <v>33583</v>
      </c>
      <c r="E264" s="23">
        <f t="shared" si="13"/>
        <v>28796</v>
      </c>
      <c r="F264" s="23">
        <f t="shared" si="14"/>
        <v>34028</v>
      </c>
      <c r="G264"/>
      <c r="H264"/>
      <c r="I264"/>
    </row>
    <row r="265" spans="1:9" x14ac:dyDescent="0.25">
      <c r="A265" s="27">
        <v>41100</v>
      </c>
      <c r="B265" s="25" t="s">
        <v>305</v>
      </c>
      <c r="C265" s="26">
        <v>0.95499999999999996</v>
      </c>
      <c r="D265" s="24">
        <f t="shared" si="12"/>
        <v>36194</v>
      </c>
      <c r="E265" s="23">
        <f t="shared" si="13"/>
        <v>30421</v>
      </c>
      <c r="F265" s="23">
        <f t="shared" si="14"/>
        <v>36735</v>
      </c>
      <c r="G265"/>
      <c r="H265"/>
      <c r="I265"/>
    </row>
    <row r="266" spans="1:9" x14ac:dyDescent="0.25">
      <c r="A266" s="27">
        <v>41180</v>
      </c>
      <c r="B266" s="25" t="s">
        <v>306</v>
      </c>
      <c r="C266" s="26">
        <v>0.83299999999999996</v>
      </c>
      <c r="D266" s="24">
        <f t="shared" si="12"/>
        <v>34239</v>
      </c>
      <c r="E266" s="23">
        <f t="shared" si="13"/>
        <v>29205</v>
      </c>
      <c r="F266" s="23">
        <f t="shared" si="14"/>
        <v>34709</v>
      </c>
      <c r="G266"/>
      <c r="H266"/>
      <c r="I266"/>
    </row>
    <row r="267" spans="1:9" x14ac:dyDescent="0.25">
      <c r="A267" s="27">
        <v>41420</v>
      </c>
      <c r="B267" s="25" t="s">
        <v>307</v>
      </c>
      <c r="C267" s="26">
        <v>0.97399999999999998</v>
      </c>
      <c r="D267" s="24">
        <f t="shared" si="12"/>
        <v>36498</v>
      </c>
      <c r="E267" s="23">
        <f t="shared" si="13"/>
        <v>30611</v>
      </c>
      <c r="F267" s="23">
        <f t="shared" si="14"/>
        <v>37050</v>
      </c>
      <c r="G267"/>
      <c r="H267"/>
      <c r="I267"/>
    </row>
    <row r="268" spans="1:9" x14ac:dyDescent="0.25">
      <c r="A268" s="27">
        <v>41500</v>
      </c>
      <c r="B268" s="25" t="s">
        <v>308</v>
      </c>
      <c r="C268" s="26">
        <v>1.49</v>
      </c>
      <c r="D268" s="24">
        <f t="shared" si="12"/>
        <v>44765</v>
      </c>
      <c r="E268" s="23">
        <f t="shared" si="13"/>
        <v>35756</v>
      </c>
      <c r="F268" s="23">
        <f t="shared" si="14"/>
        <v>45618</v>
      </c>
      <c r="G268"/>
      <c r="H268"/>
      <c r="I268"/>
    </row>
    <row r="269" spans="1:9" x14ac:dyDescent="0.25">
      <c r="A269" s="27">
        <v>41540</v>
      </c>
      <c r="B269" s="25" t="s">
        <v>309</v>
      </c>
      <c r="C269" s="26">
        <v>0.877</v>
      </c>
      <c r="D269" s="24">
        <f t="shared" si="12"/>
        <v>34944</v>
      </c>
      <c r="E269" s="23">
        <f t="shared" si="13"/>
        <v>29644</v>
      </c>
      <c r="F269" s="23">
        <f t="shared" si="14"/>
        <v>35440</v>
      </c>
      <c r="G269"/>
      <c r="H269"/>
      <c r="I269"/>
    </row>
    <row r="270" spans="1:9" x14ac:dyDescent="0.25">
      <c r="A270" s="27">
        <v>41620</v>
      </c>
      <c r="B270" s="25" t="s">
        <v>310</v>
      </c>
      <c r="C270" s="26">
        <v>1.093</v>
      </c>
      <c r="D270" s="24">
        <f t="shared" si="12"/>
        <v>38405</v>
      </c>
      <c r="E270" s="23">
        <f t="shared" si="13"/>
        <v>31797</v>
      </c>
      <c r="F270" s="23">
        <f t="shared" si="14"/>
        <v>39026</v>
      </c>
      <c r="G270"/>
      <c r="H270"/>
      <c r="I270"/>
    </row>
    <row r="271" spans="1:9" x14ac:dyDescent="0.25">
      <c r="A271" s="27">
        <v>41700</v>
      </c>
      <c r="B271" s="25" t="s">
        <v>311</v>
      </c>
      <c r="C271" s="26">
        <v>0.998</v>
      </c>
      <c r="D271" s="24">
        <f t="shared" si="12"/>
        <v>36883</v>
      </c>
      <c r="E271" s="23">
        <f t="shared" si="13"/>
        <v>30850</v>
      </c>
      <c r="F271" s="23">
        <f t="shared" si="14"/>
        <v>37449</v>
      </c>
      <c r="G271"/>
      <c r="H271"/>
      <c r="I271"/>
    </row>
    <row r="272" spans="1:9" x14ac:dyDescent="0.25">
      <c r="A272" s="27">
        <v>41740</v>
      </c>
      <c r="B272" s="25" t="s">
        <v>312</v>
      </c>
      <c r="C272" s="26">
        <v>1.635</v>
      </c>
      <c r="D272" s="24">
        <f t="shared" si="12"/>
        <v>47088</v>
      </c>
      <c r="E272" s="23">
        <f t="shared" si="13"/>
        <v>37202</v>
      </c>
      <c r="F272" s="23">
        <f t="shared" si="14"/>
        <v>48026</v>
      </c>
      <c r="G272"/>
      <c r="H272"/>
      <c r="I272"/>
    </row>
    <row r="273" spans="1:9" x14ac:dyDescent="0.25">
      <c r="A273" s="27">
        <v>41860</v>
      </c>
      <c r="B273" s="25" t="s">
        <v>313</v>
      </c>
      <c r="C273" s="26">
        <v>1.976</v>
      </c>
      <c r="D273" s="24">
        <f t="shared" si="12"/>
        <v>52552</v>
      </c>
      <c r="E273" s="23">
        <f t="shared" si="13"/>
        <v>40602</v>
      </c>
      <c r="F273" s="23">
        <f t="shared" si="14"/>
        <v>53688</v>
      </c>
      <c r="G273"/>
      <c r="H273"/>
      <c r="I273"/>
    </row>
    <row r="274" spans="1:9" x14ac:dyDescent="0.25">
      <c r="A274" s="27">
        <v>41940</v>
      </c>
      <c r="B274" s="25" t="s">
        <v>314</v>
      </c>
      <c r="C274" s="26">
        <v>2.2160000000000002</v>
      </c>
      <c r="D274" s="24">
        <f t="shared" si="12"/>
        <v>56397</v>
      </c>
      <c r="E274" s="23">
        <f t="shared" si="13"/>
        <v>42995</v>
      </c>
      <c r="F274" s="23">
        <f t="shared" si="14"/>
        <v>57673</v>
      </c>
      <c r="G274"/>
      <c r="H274"/>
      <c r="I274"/>
    </row>
    <row r="275" spans="1:9" x14ac:dyDescent="0.25">
      <c r="A275" s="27">
        <v>42001</v>
      </c>
      <c r="B275" s="25" t="s">
        <v>315</v>
      </c>
      <c r="C275" s="26">
        <v>0.79</v>
      </c>
      <c r="D275" s="24">
        <f t="shared" si="12"/>
        <v>33551</v>
      </c>
      <c r="E275" s="23">
        <f t="shared" si="13"/>
        <v>28776</v>
      </c>
      <c r="F275" s="23">
        <f t="shared" si="14"/>
        <v>33995</v>
      </c>
      <c r="G275"/>
      <c r="H275"/>
      <c r="I275"/>
    </row>
    <row r="276" spans="1:9" x14ac:dyDescent="0.25">
      <c r="A276" s="27">
        <v>42002</v>
      </c>
      <c r="B276" s="25" t="s">
        <v>316</v>
      </c>
      <c r="C276" s="26">
        <v>0.61</v>
      </c>
      <c r="D276" s="24">
        <f t="shared" si="12"/>
        <v>30667</v>
      </c>
      <c r="E276" s="23">
        <f t="shared" si="13"/>
        <v>26981</v>
      </c>
      <c r="F276" s="23">
        <f t="shared" si="14"/>
        <v>31006</v>
      </c>
      <c r="G276"/>
      <c r="H276"/>
      <c r="I276"/>
    </row>
    <row r="277" spans="1:9" x14ac:dyDescent="0.25">
      <c r="A277" s="27">
        <v>42020</v>
      </c>
      <c r="B277" s="25" t="s">
        <v>317</v>
      </c>
      <c r="C277" s="26">
        <v>1.478</v>
      </c>
      <c r="D277" s="24">
        <f t="shared" si="12"/>
        <v>44573</v>
      </c>
      <c r="E277" s="23">
        <f t="shared" si="13"/>
        <v>35636</v>
      </c>
      <c r="F277" s="23">
        <f t="shared" si="14"/>
        <v>45419</v>
      </c>
      <c r="G277"/>
      <c r="H277"/>
      <c r="I277"/>
    </row>
    <row r="278" spans="1:9" x14ac:dyDescent="0.25">
      <c r="A278" s="27">
        <v>42100</v>
      </c>
      <c r="B278" s="25" t="s">
        <v>318</v>
      </c>
      <c r="C278" s="26">
        <v>1.794</v>
      </c>
      <c r="D278" s="24">
        <f t="shared" si="12"/>
        <v>49636</v>
      </c>
      <c r="E278" s="23">
        <f t="shared" si="13"/>
        <v>38787</v>
      </c>
      <c r="F278" s="23">
        <f t="shared" si="14"/>
        <v>50666</v>
      </c>
      <c r="G278"/>
      <c r="H278"/>
      <c r="I278"/>
    </row>
    <row r="279" spans="1:9" x14ac:dyDescent="0.25">
      <c r="A279" s="27">
        <v>42140</v>
      </c>
      <c r="B279" s="25" t="s">
        <v>319</v>
      </c>
      <c r="C279" s="26">
        <v>1.038</v>
      </c>
      <c r="D279" s="24">
        <f t="shared" si="12"/>
        <v>37524</v>
      </c>
      <c r="E279" s="23">
        <f t="shared" si="13"/>
        <v>31249</v>
      </c>
      <c r="F279" s="23">
        <f t="shared" si="14"/>
        <v>38113</v>
      </c>
      <c r="G279"/>
      <c r="H279"/>
      <c r="I279"/>
    </row>
    <row r="280" spans="1:9" x14ac:dyDescent="0.25">
      <c r="A280" s="27">
        <v>42200</v>
      </c>
      <c r="B280" s="25" t="s">
        <v>320</v>
      </c>
      <c r="C280" s="26">
        <v>1.585</v>
      </c>
      <c r="D280" s="24">
        <f t="shared" si="12"/>
        <v>46287</v>
      </c>
      <c r="E280" s="23">
        <f t="shared" si="13"/>
        <v>36703</v>
      </c>
      <c r="F280" s="23">
        <f t="shared" si="14"/>
        <v>47196</v>
      </c>
      <c r="G280"/>
      <c r="H280"/>
      <c r="I280"/>
    </row>
    <row r="281" spans="1:9" x14ac:dyDescent="0.25">
      <c r="A281" s="27">
        <v>42220</v>
      </c>
      <c r="B281" s="25" t="s">
        <v>321</v>
      </c>
      <c r="C281" s="26">
        <v>1.653</v>
      </c>
      <c r="D281" s="24">
        <f t="shared" si="12"/>
        <v>47377</v>
      </c>
      <c r="E281" s="23">
        <f t="shared" si="13"/>
        <v>37381</v>
      </c>
      <c r="F281" s="23">
        <f t="shared" si="14"/>
        <v>48325</v>
      </c>
      <c r="G281"/>
      <c r="H281"/>
      <c r="I281"/>
    </row>
    <row r="282" spans="1:9" x14ac:dyDescent="0.25">
      <c r="A282" s="27">
        <v>42340</v>
      </c>
      <c r="B282" s="25" t="s">
        <v>322</v>
      </c>
      <c r="C282" s="26">
        <v>0.95899999999999996</v>
      </c>
      <c r="D282" s="24">
        <f t="shared" si="12"/>
        <v>36258</v>
      </c>
      <c r="E282" s="23">
        <f t="shared" si="13"/>
        <v>30461</v>
      </c>
      <c r="F282" s="23">
        <f t="shared" si="14"/>
        <v>36801</v>
      </c>
      <c r="G282"/>
      <c r="H282"/>
      <c r="I282"/>
    </row>
    <row r="283" spans="1:9" x14ac:dyDescent="0.25">
      <c r="A283" s="27">
        <v>42540</v>
      </c>
      <c r="B283" s="25" t="s">
        <v>323</v>
      </c>
      <c r="C283" s="26">
        <v>0.71799999999999997</v>
      </c>
      <c r="D283" s="24">
        <f t="shared" si="12"/>
        <v>32397</v>
      </c>
      <c r="E283" s="23">
        <f t="shared" si="13"/>
        <v>28058</v>
      </c>
      <c r="F283" s="23">
        <f t="shared" si="14"/>
        <v>32800</v>
      </c>
      <c r="G283"/>
      <c r="H283"/>
      <c r="I283"/>
    </row>
    <row r="284" spans="1:9" x14ac:dyDescent="0.25">
      <c r="A284" s="27">
        <v>42660</v>
      </c>
      <c r="B284" s="25" t="s">
        <v>324</v>
      </c>
      <c r="C284" s="26">
        <v>1.494</v>
      </c>
      <c r="D284" s="24">
        <f t="shared" si="12"/>
        <v>44829</v>
      </c>
      <c r="E284" s="23">
        <f t="shared" si="13"/>
        <v>35796</v>
      </c>
      <c r="F284" s="23">
        <f t="shared" si="14"/>
        <v>45685</v>
      </c>
      <c r="G284"/>
      <c r="H284"/>
      <c r="I284"/>
    </row>
    <row r="285" spans="1:9" x14ac:dyDescent="0.25">
      <c r="A285" s="27">
        <v>43300</v>
      </c>
      <c r="B285" s="25" t="s">
        <v>325</v>
      </c>
      <c r="C285" s="26">
        <v>0.872</v>
      </c>
      <c r="D285" s="24">
        <f t="shared" si="12"/>
        <v>34864</v>
      </c>
      <c r="E285" s="23">
        <f t="shared" si="13"/>
        <v>29594</v>
      </c>
      <c r="F285" s="23">
        <f t="shared" si="14"/>
        <v>35357</v>
      </c>
      <c r="G285"/>
      <c r="H285"/>
      <c r="I285"/>
    </row>
    <row r="286" spans="1:9" x14ac:dyDescent="0.25">
      <c r="A286" s="27">
        <v>43340</v>
      </c>
      <c r="B286" s="25" t="s">
        <v>326</v>
      </c>
      <c r="C286" s="26">
        <v>0.72</v>
      </c>
      <c r="D286" s="24">
        <f t="shared" si="12"/>
        <v>32429</v>
      </c>
      <c r="E286" s="23">
        <f t="shared" si="13"/>
        <v>28078</v>
      </c>
      <c r="F286" s="23">
        <f t="shared" si="14"/>
        <v>32833</v>
      </c>
      <c r="G286"/>
      <c r="H286"/>
      <c r="I286"/>
    </row>
    <row r="287" spans="1:9" x14ac:dyDescent="0.25">
      <c r="A287" s="27">
        <v>43620</v>
      </c>
      <c r="B287" s="25" t="s">
        <v>327</v>
      </c>
      <c r="C287" s="26">
        <v>0.76500000000000001</v>
      </c>
      <c r="D287" s="24">
        <f t="shared" si="12"/>
        <v>33150</v>
      </c>
      <c r="E287" s="23">
        <f t="shared" si="13"/>
        <v>28527</v>
      </c>
      <c r="F287" s="23">
        <f t="shared" si="14"/>
        <v>33580</v>
      </c>
      <c r="G287"/>
      <c r="H287"/>
      <c r="I287"/>
    </row>
    <row r="288" spans="1:9" x14ac:dyDescent="0.25">
      <c r="A288" s="27">
        <v>43780</v>
      </c>
      <c r="B288" s="25" t="s">
        <v>328</v>
      </c>
      <c r="C288" s="26">
        <v>0.79300000000000004</v>
      </c>
      <c r="D288" s="24">
        <f t="shared" si="12"/>
        <v>33599</v>
      </c>
      <c r="E288" s="23">
        <f t="shared" si="13"/>
        <v>28806</v>
      </c>
      <c r="F288" s="23">
        <f t="shared" si="14"/>
        <v>34045</v>
      </c>
      <c r="G288"/>
      <c r="H288"/>
      <c r="I288"/>
    </row>
    <row r="289" spans="1:9" x14ac:dyDescent="0.25">
      <c r="A289" s="27">
        <v>43900</v>
      </c>
      <c r="B289" s="25" t="s">
        <v>329</v>
      </c>
      <c r="C289" s="26">
        <v>0.74199999999999999</v>
      </c>
      <c r="D289" s="24">
        <f t="shared" si="12"/>
        <v>32782</v>
      </c>
      <c r="E289" s="23">
        <f t="shared" si="13"/>
        <v>28297</v>
      </c>
      <c r="F289" s="23">
        <f t="shared" si="14"/>
        <v>33198</v>
      </c>
      <c r="G289"/>
      <c r="H289"/>
      <c r="I289"/>
    </row>
    <row r="290" spans="1:9" x14ac:dyDescent="0.25">
      <c r="A290" s="27">
        <v>44060</v>
      </c>
      <c r="B290" s="25" t="s">
        <v>330</v>
      </c>
      <c r="C290" s="26">
        <v>0.88900000000000001</v>
      </c>
      <c r="D290" s="24">
        <f t="shared" si="12"/>
        <v>35137</v>
      </c>
      <c r="E290" s="23">
        <f t="shared" si="13"/>
        <v>29763</v>
      </c>
      <c r="F290" s="23">
        <f t="shared" si="14"/>
        <v>35639</v>
      </c>
      <c r="G290"/>
      <c r="H290"/>
      <c r="I290"/>
    </row>
    <row r="291" spans="1:9" x14ac:dyDescent="0.25">
      <c r="A291" s="27">
        <v>44100</v>
      </c>
      <c r="B291" s="25" t="s">
        <v>331</v>
      </c>
      <c r="C291" s="26">
        <v>0.73399999999999999</v>
      </c>
      <c r="D291" s="24">
        <f t="shared" si="12"/>
        <v>32653</v>
      </c>
      <c r="E291" s="23">
        <f t="shared" si="13"/>
        <v>28218</v>
      </c>
      <c r="F291" s="23">
        <f t="shared" si="14"/>
        <v>33065</v>
      </c>
      <c r="G291"/>
      <c r="H291"/>
      <c r="I291"/>
    </row>
    <row r="292" spans="1:9" x14ac:dyDescent="0.25">
      <c r="A292" s="27">
        <v>44140</v>
      </c>
      <c r="B292" s="25" t="s">
        <v>332</v>
      </c>
      <c r="C292" s="26">
        <v>0.94899999999999995</v>
      </c>
      <c r="D292" s="24">
        <f t="shared" si="12"/>
        <v>36098</v>
      </c>
      <c r="E292" s="23">
        <f t="shared" si="13"/>
        <v>30361</v>
      </c>
      <c r="F292" s="23">
        <f t="shared" si="14"/>
        <v>36635</v>
      </c>
      <c r="G292"/>
      <c r="H292"/>
      <c r="I292"/>
    </row>
    <row r="293" spans="1:9" x14ac:dyDescent="0.25">
      <c r="A293" s="27">
        <v>44180</v>
      </c>
      <c r="B293" s="25" t="s">
        <v>333</v>
      </c>
      <c r="C293" s="26">
        <v>0.68400000000000005</v>
      </c>
      <c r="D293" s="24">
        <f t="shared" si="12"/>
        <v>31852</v>
      </c>
      <c r="E293" s="23">
        <f t="shared" si="13"/>
        <v>27719</v>
      </c>
      <c r="F293" s="23">
        <f t="shared" si="14"/>
        <v>32235</v>
      </c>
      <c r="G293"/>
      <c r="H293"/>
      <c r="I293"/>
    </row>
    <row r="294" spans="1:9" x14ac:dyDescent="0.25">
      <c r="A294" s="27">
        <v>44700</v>
      </c>
      <c r="B294" s="25" t="s">
        <v>334</v>
      </c>
      <c r="C294" s="26">
        <v>1.107</v>
      </c>
      <c r="D294" s="24">
        <f t="shared" si="12"/>
        <v>38629</v>
      </c>
      <c r="E294" s="23">
        <f t="shared" si="13"/>
        <v>31937</v>
      </c>
      <c r="F294" s="23">
        <f t="shared" si="14"/>
        <v>39259</v>
      </c>
      <c r="G294"/>
      <c r="H294"/>
      <c r="I294"/>
    </row>
    <row r="295" spans="1:9" x14ac:dyDescent="0.25">
      <c r="A295" s="27">
        <v>45002</v>
      </c>
      <c r="B295" s="25" t="s">
        <v>335</v>
      </c>
      <c r="C295" s="26">
        <v>0.628</v>
      </c>
      <c r="D295" s="24">
        <f t="shared" si="12"/>
        <v>30955</v>
      </c>
      <c r="E295" s="23">
        <f t="shared" si="13"/>
        <v>27161</v>
      </c>
      <c r="F295" s="23">
        <f t="shared" si="14"/>
        <v>31305</v>
      </c>
      <c r="G295"/>
      <c r="H295"/>
      <c r="I295"/>
    </row>
    <row r="296" spans="1:9" x14ac:dyDescent="0.25">
      <c r="A296" s="27">
        <v>45060</v>
      </c>
      <c r="B296" s="25" t="s">
        <v>336</v>
      </c>
      <c r="C296" s="26">
        <v>0.81699999999999995</v>
      </c>
      <c r="D296" s="24">
        <f t="shared" si="12"/>
        <v>33983</v>
      </c>
      <c r="E296" s="23">
        <f t="shared" si="13"/>
        <v>29045</v>
      </c>
      <c r="F296" s="23">
        <f t="shared" si="14"/>
        <v>34443</v>
      </c>
      <c r="G296"/>
      <c r="H296"/>
      <c r="I296"/>
    </row>
    <row r="297" spans="1:9" x14ac:dyDescent="0.25">
      <c r="A297" s="27">
        <v>45220</v>
      </c>
      <c r="B297" s="25" t="s">
        <v>337</v>
      </c>
      <c r="C297" s="26">
        <v>0.90300000000000002</v>
      </c>
      <c r="D297" s="24">
        <f t="shared" si="12"/>
        <v>35361</v>
      </c>
      <c r="E297" s="23">
        <f t="shared" si="13"/>
        <v>29903</v>
      </c>
      <c r="F297" s="23">
        <f t="shared" si="14"/>
        <v>35871</v>
      </c>
      <c r="G297"/>
      <c r="H297"/>
      <c r="I297"/>
    </row>
    <row r="298" spans="1:9" x14ac:dyDescent="0.25">
      <c r="A298" s="27">
        <v>45300</v>
      </c>
      <c r="B298" s="25" t="s">
        <v>338</v>
      </c>
      <c r="C298" s="26">
        <v>1.093</v>
      </c>
      <c r="D298" s="24">
        <f t="shared" si="12"/>
        <v>38405</v>
      </c>
      <c r="E298" s="23">
        <f t="shared" si="13"/>
        <v>31797</v>
      </c>
      <c r="F298" s="23">
        <f t="shared" si="14"/>
        <v>39026</v>
      </c>
      <c r="G298"/>
      <c r="H298"/>
      <c r="I298"/>
    </row>
    <row r="299" spans="1:9" x14ac:dyDescent="0.25">
      <c r="A299" s="27">
        <v>45460</v>
      </c>
      <c r="B299" s="25" t="s">
        <v>339</v>
      </c>
      <c r="C299" s="26">
        <v>0.70299999999999996</v>
      </c>
      <c r="D299" s="24">
        <f t="shared" si="12"/>
        <v>32157</v>
      </c>
      <c r="E299" s="23">
        <f t="shared" si="13"/>
        <v>27909</v>
      </c>
      <c r="F299" s="23">
        <f t="shared" si="14"/>
        <v>32550</v>
      </c>
      <c r="G299"/>
      <c r="H299"/>
      <c r="I299"/>
    </row>
    <row r="300" spans="1:9" x14ac:dyDescent="0.25">
      <c r="A300" s="27">
        <v>45780</v>
      </c>
      <c r="B300" s="25" t="s">
        <v>340</v>
      </c>
      <c r="C300" s="26">
        <v>0.72699999999999998</v>
      </c>
      <c r="D300" s="24">
        <f t="shared" si="12"/>
        <v>32541</v>
      </c>
      <c r="E300" s="23">
        <f t="shared" si="13"/>
        <v>28148</v>
      </c>
      <c r="F300" s="23">
        <f t="shared" si="14"/>
        <v>32949</v>
      </c>
      <c r="G300"/>
      <c r="H300"/>
      <c r="I300"/>
    </row>
    <row r="301" spans="1:9" x14ac:dyDescent="0.25">
      <c r="A301" s="27">
        <v>45820</v>
      </c>
      <c r="B301" s="25" t="s">
        <v>341</v>
      </c>
      <c r="C301" s="26">
        <v>0.76700000000000002</v>
      </c>
      <c r="D301" s="24">
        <f t="shared" si="12"/>
        <v>33182</v>
      </c>
      <c r="E301" s="23">
        <f t="shared" si="13"/>
        <v>28547</v>
      </c>
      <c r="F301" s="23">
        <f t="shared" si="14"/>
        <v>33613</v>
      </c>
      <c r="G301"/>
      <c r="H301"/>
      <c r="I301"/>
    </row>
    <row r="302" spans="1:9" x14ac:dyDescent="0.25">
      <c r="A302" s="27">
        <v>45940</v>
      </c>
      <c r="B302" s="25" t="s">
        <v>342</v>
      </c>
      <c r="C302" s="26">
        <v>1.2410000000000001</v>
      </c>
      <c r="D302" s="24">
        <f t="shared" si="12"/>
        <v>40776</v>
      </c>
      <c r="E302" s="23">
        <f t="shared" si="13"/>
        <v>33273</v>
      </c>
      <c r="F302" s="23">
        <f t="shared" si="14"/>
        <v>41484</v>
      </c>
      <c r="G302"/>
      <c r="H302"/>
      <c r="I302"/>
    </row>
    <row r="303" spans="1:9" x14ac:dyDescent="0.25">
      <c r="A303" s="27">
        <v>46001</v>
      </c>
      <c r="B303" s="25" t="s">
        <v>343</v>
      </c>
      <c r="C303" s="26">
        <v>0.81899999999999995</v>
      </c>
      <c r="D303" s="24">
        <f t="shared" si="12"/>
        <v>34015</v>
      </c>
      <c r="E303" s="23">
        <f t="shared" si="13"/>
        <v>29065</v>
      </c>
      <c r="F303" s="23">
        <f t="shared" si="14"/>
        <v>34477</v>
      </c>
      <c r="G303"/>
      <c r="H303"/>
      <c r="I303"/>
    </row>
    <row r="304" spans="1:9" x14ac:dyDescent="0.25">
      <c r="A304" s="27">
        <v>46002</v>
      </c>
      <c r="B304" s="25" t="s">
        <v>344</v>
      </c>
      <c r="C304" s="26">
        <v>0.65600000000000003</v>
      </c>
      <c r="D304" s="24">
        <f t="shared" si="12"/>
        <v>31404</v>
      </c>
      <c r="E304" s="23">
        <f t="shared" si="13"/>
        <v>27440</v>
      </c>
      <c r="F304" s="23">
        <f t="shared" si="14"/>
        <v>31770</v>
      </c>
      <c r="G304"/>
      <c r="H304"/>
      <c r="I304"/>
    </row>
    <row r="305" spans="1:9" x14ac:dyDescent="0.25">
      <c r="A305" s="27">
        <v>46060</v>
      </c>
      <c r="B305" s="25" t="s">
        <v>345</v>
      </c>
      <c r="C305" s="26">
        <v>0.88300000000000001</v>
      </c>
      <c r="D305" s="24">
        <f t="shared" si="12"/>
        <v>35041</v>
      </c>
      <c r="E305" s="23">
        <f t="shared" si="13"/>
        <v>29703</v>
      </c>
      <c r="F305" s="23">
        <f t="shared" si="14"/>
        <v>35539</v>
      </c>
      <c r="G305"/>
      <c r="H305"/>
      <c r="I305"/>
    </row>
    <row r="306" spans="1:9" x14ac:dyDescent="0.25">
      <c r="A306" s="27">
        <v>46140</v>
      </c>
      <c r="B306" s="25" t="s">
        <v>346</v>
      </c>
      <c r="C306" s="26">
        <v>0.78200000000000003</v>
      </c>
      <c r="D306" s="24">
        <f t="shared" si="12"/>
        <v>33422</v>
      </c>
      <c r="E306" s="23">
        <f t="shared" si="13"/>
        <v>28696</v>
      </c>
      <c r="F306" s="23">
        <f t="shared" si="14"/>
        <v>33862</v>
      </c>
      <c r="G306"/>
      <c r="H306"/>
      <c r="I306"/>
    </row>
    <row r="307" spans="1:9" x14ac:dyDescent="0.25">
      <c r="A307" s="27">
        <v>46340</v>
      </c>
      <c r="B307" s="25" t="s">
        <v>347</v>
      </c>
      <c r="C307" s="26">
        <v>0.86699999999999999</v>
      </c>
      <c r="D307" s="24">
        <f t="shared" si="12"/>
        <v>34784</v>
      </c>
      <c r="E307" s="23">
        <f t="shared" si="13"/>
        <v>29544</v>
      </c>
      <c r="F307" s="23">
        <f t="shared" si="14"/>
        <v>35274</v>
      </c>
      <c r="G307"/>
      <c r="H307"/>
      <c r="I307"/>
    </row>
    <row r="308" spans="1:9" x14ac:dyDescent="0.25">
      <c r="A308" s="27">
        <v>46520</v>
      </c>
      <c r="B308" s="25" t="s">
        <v>348</v>
      </c>
      <c r="C308" s="26">
        <v>1.585</v>
      </c>
      <c r="D308" s="24">
        <f t="shared" si="12"/>
        <v>46287</v>
      </c>
      <c r="E308" s="23">
        <f t="shared" si="13"/>
        <v>36703</v>
      </c>
      <c r="F308" s="23">
        <f t="shared" si="14"/>
        <v>47196</v>
      </c>
      <c r="G308"/>
      <c r="H308"/>
      <c r="I308"/>
    </row>
    <row r="309" spans="1:9" x14ac:dyDescent="0.25">
      <c r="A309" s="27">
        <v>46540</v>
      </c>
      <c r="B309" s="25" t="s">
        <v>349</v>
      </c>
      <c r="C309" s="26">
        <v>0.71899999999999997</v>
      </c>
      <c r="D309" s="24">
        <f t="shared" si="12"/>
        <v>32413</v>
      </c>
      <c r="E309" s="23">
        <f t="shared" si="13"/>
        <v>28068</v>
      </c>
      <c r="F309" s="23">
        <f t="shared" si="14"/>
        <v>32816</v>
      </c>
      <c r="G309"/>
      <c r="H309"/>
      <c r="I309"/>
    </row>
    <row r="310" spans="1:9" x14ac:dyDescent="0.25">
      <c r="A310" s="27">
        <v>46700</v>
      </c>
      <c r="B310" s="25" t="s">
        <v>350</v>
      </c>
      <c r="C310" s="26">
        <v>1.52</v>
      </c>
      <c r="D310" s="24">
        <f t="shared" si="12"/>
        <v>45246</v>
      </c>
      <c r="E310" s="23">
        <f t="shared" si="13"/>
        <v>36055</v>
      </c>
      <c r="F310" s="23">
        <f t="shared" si="14"/>
        <v>46116</v>
      </c>
      <c r="G310"/>
      <c r="H310"/>
      <c r="I310"/>
    </row>
    <row r="311" spans="1:9" x14ac:dyDescent="0.25">
      <c r="A311" s="27">
        <v>47002</v>
      </c>
      <c r="B311" s="25" t="s">
        <v>351</v>
      </c>
      <c r="C311" s="26">
        <v>0.624</v>
      </c>
      <c r="D311" s="24">
        <f t="shared" si="12"/>
        <v>30891</v>
      </c>
      <c r="E311" s="23">
        <f t="shared" si="13"/>
        <v>27121</v>
      </c>
      <c r="F311" s="23">
        <f t="shared" si="14"/>
        <v>31239</v>
      </c>
      <c r="G311"/>
      <c r="H311"/>
      <c r="I311"/>
    </row>
    <row r="312" spans="1:9" x14ac:dyDescent="0.25">
      <c r="A312" s="27">
        <v>47220</v>
      </c>
      <c r="B312" s="25" t="s">
        <v>352</v>
      </c>
      <c r="C312" s="26">
        <v>0.97599999999999998</v>
      </c>
      <c r="D312" s="24">
        <f t="shared" si="12"/>
        <v>36530</v>
      </c>
      <c r="E312" s="23">
        <f t="shared" si="13"/>
        <v>30631</v>
      </c>
      <c r="F312" s="23">
        <f t="shared" si="14"/>
        <v>37083</v>
      </c>
      <c r="G312"/>
      <c r="H312"/>
      <c r="I312"/>
    </row>
    <row r="313" spans="1:9" x14ac:dyDescent="0.25">
      <c r="A313" s="27">
        <v>47260</v>
      </c>
      <c r="B313" s="25" t="s">
        <v>353</v>
      </c>
      <c r="C313" s="26">
        <v>1.0089999999999999</v>
      </c>
      <c r="D313" s="24">
        <f t="shared" si="12"/>
        <v>37059</v>
      </c>
      <c r="E313" s="23">
        <f t="shared" si="13"/>
        <v>30960</v>
      </c>
      <c r="F313" s="23">
        <f t="shared" si="14"/>
        <v>37631</v>
      </c>
      <c r="G313"/>
      <c r="H313"/>
      <c r="I313"/>
    </row>
    <row r="314" spans="1:9" x14ac:dyDescent="0.25">
      <c r="A314" s="27">
        <v>47300</v>
      </c>
      <c r="B314" s="25" t="s">
        <v>354</v>
      </c>
      <c r="C314" s="26">
        <v>0.83</v>
      </c>
      <c r="D314" s="24">
        <f t="shared" si="12"/>
        <v>34191</v>
      </c>
      <c r="E314" s="23">
        <f t="shared" si="13"/>
        <v>29175</v>
      </c>
      <c r="F314" s="23">
        <f t="shared" si="14"/>
        <v>34659</v>
      </c>
      <c r="G314"/>
      <c r="H314"/>
      <c r="I314"/>
    </row>
    <row r="315" spans="1:9" x14ac:dyDescent="0.25">
      <c r="A315" s="27">
        <v>47380</v>
      </c>
      <c r="B315" s="25" t="s">
        <v>355</v>
      </c>
      <c r="C315" s="26">
        <v>0.84299999999999997</v>
      </c>
      <c r="D315" s="24">
        <f t="shared" si="12"/>
        <v>34400</v>
      </c>
      <c r="E315" s="23">
        <f t="shared" si="13"/>
        <v>29305</v>
      </c>
      <c r="F315" s="23">
        <f t="shared" si="14"/>
        <v>34875</v>
      </c>
      <c r="G315"/>
      <c r="H315"/>
      <c r="I315"/>
    </row>
    <row r="316" spans="1:9" x14ac:dyDescent="0.25">
      <c r="A316" s="27">
        <v>47580</v>
      </c>
      <c r="B316" s="25" t="s">
        <v>356</v>
      </c>
      <c r="C316" s="26">
        <v>0.74399999999999999</v>
      </c>
      <c r="D316" s="24">
        <f t="shared" si="12"/>
        <v>32814</v>
      </c>
      <c r="E316" s="23">
        <f t="shared" si="13"/>
        <v>28317</v>
      </c>
      <c r="F316" s="23">
        <f t="shared" si="14"/>
        <v>33231</v>
      </c>
      <c r="G316"/>
      <c r="H316"/>
      <c r="I316"/>
    </row>
    <row r="317" spans="1:9" x14ac:dyDescent="0.25">
      <c r="A317" s="27">
        <v>47900</v>
      </c>
      <c r="B317" s="25" t="s">
        <v>357</v>
      </c>
      <c r="C317" s="26">
        <v>1.526</v>
      </c>
      <c r="D317" s="24">
        <f t="shared" si="12"/>
        <v>45342</v>
      </c>
      <c r="E317" s="23">
        <f t="shared" si="13"/>
        <v>36115</v>
      </c>
      <c r="F317" s="23">
        <f t="shared" si="14"/>
        <v>46216</v>
      </c>
      <c r="G317"/>
      <c r="H317"/>
      <c r="I317"/>
    </row>
    <row r="318" spans="1:9" x14ac:dyDescent="0.25">
      <c r="A318" s="27">
        <v>47940</v>
      </c>
      <c r="B318" s="25" t="s">
        <v>358</v>
      </c>
      <c r="C318" s="26">
        <v>0.73699999999999999</v>
      </c>
      <c r="D318" s="24">
        <f t="shared" si="12"/>
        <v>32701</v>
      </c>
      <c r="E318" s="23">
        <f t="shared" si="13"/>
        <v>28248</v>
      </c>
      <c r="F318" s="23">
        <f t="shared" si="14"/>
        <v>33115</v>
      </c>
      <c r="G318"/>
      <c r="H318"/>
      <c r="I318"/>
    </row>
    <row r="319" spans="1:9" x14ac:dyDescent="0.25">
      <c r="A319" s="27">
        <v>48001</v>
      </c>
      <c r="B319" s="25" t="s">
        <v>359</v>
      </c>
      <c r="C319" s="26">
        <v>0.84399999999999997</v>
      </c>
      <c r="D319" s="24">
        <f t="shared" si="12"/>
        <v>34416</v>
      </c>
      <c r="E319" s="23">
        <f t="shared" si="13"/>
        <v>29315</v>
      </c>
      <c r="F319" s="23">
        <f t="shared" si="14"/>
        <v>34892</v>
      </c>
      <c r="G319"/>
      <c r="H319"/>
      <c r="I319"/>
    </row>
    <row r="320" spans="1:9" x14ac:dyDescent="0.25">
      <c r="A320" s="27">
        <v>48002</v>
      </c>
      <c r="B320" s="25" t="s">
        <v>360</v>
      </c>
      <c r="C320" s="26">
        <v>0.76700000000000002</v>
      </c>
      <c r="D320" s="24">
        <f t="shared" si="12"/>
        <v>33182</v>
      </c>
      <c r="E320" s="23">
        <f t="shared" si="13"/>
        <v>28547</v>
      </c>
      <c r="F320" s="23">
        <f t="shared" si="14"/>
        <v>33613</v>
      </c>
      <c r="G320"/>
      <c r="H320"/>
      <c r="I320"/>
    </row>
    <row r="321" spans="1:9" x14ac:dyDescent="0.25">
      <c r="A321" s="27">
        <v>48060</v>
      </c>
      <c r="B321" s="25" t="s">
        <v>361</v>
      </c>
      <c r="C321" s="26">
        <v>0.90400000000000003</v>
      </c>
      <c r="D321" s="24">
        <f t="shared" si="12"/>
        <v>35377</v>
      </c>
      <c r="E321" s="23">
        <f t="shared" si="13"/>
        <v>29913</v>
      </c>
      <c r="F321" s="23">
        <f t="shared" si="14"/>
        <v>35888</v>
      </c>
      <c r="G321"/>
      <c r="H321"/>
      <c r="I321"/>
    </row>
    <row r="322" spans="1:9" x14ac:dyDescent="0.25">
      <c r="A322" s="27">
        <v>48140</v>
      </c>
      <c r="B322" s="25" t="s">
        <v>362</v>
      </c>
      <c r="C322" s="26">
        <v>0.72699999999999998</v>
      </c>
      <c r="D322" s="24">
        <f t="shared" si="12"/>
        <v>32541</v>
      </c>
      <c r="E322" s="23">
        <f t="shared" si="13"/>
        <v>28148</v>
      </c>
      <c r="F322" s="23">
        <f t="shared" si="14"/>
        <v>32949</v>
      </c>
      <c r="G322"/>
      <c r="H322"/>
      <c r="I322"/>
    </row>
    <row r="323" spans="1:9" x14ac:dyDescent="0.25">
      <c r="A323" s="27">
        <v>48620</v>
      </c>
      <c r="B323" s="25" t="s">
        <v>363</v>
      </c>
      <c r="C323" s="26">
        <v>0.749</v>
      </c>
      <c r="D323" s="24">
        <f t="shared" ref="D323:D343" si="15">ROUND((+$C323*D$2*0.434+(1-0.434)*D$2),0)</f>
        <v>32894</v>
      </c>
      <c r="E323" s="23">
        <f t="shared" ref="E323:E343" si="16">ROUND((+$C323*E$2*0.323+(1-0.323)*E$2),0)</f>
        <v>28367</v>
      </c>
      <c r="F323" s="23">
        <f t="shared" ref="F323:F343" si="17">ROUND((+$C323*F$2*0.443+(1-0.443)*F$2),0)</f>
        <v>33314</v>
      </c>
      <c r="G323"/>
      <c r="H323"/>
      <c r="I323"/>
    </row>
    <row r="324" spans="1:9" x14ac:dyDescent="0.25">
      <c r="A324" s="27">
        <v>48660</v>
      </c>
      <c r="B324" s="25" t="s">
        <v>364</v>
      </c>
      <c r="C324" s="26">
        <v>0.72199999999999998</v>
      </c>
      <c r="D324" s="24">
        <f t="shared" si="15"/>
        <v>32461</v>
      </c>
      <c r="E324" s="23">
        <f t="shared" si="16"/>
        <v>28098</v>
      </c>
      <c r="F324" s="23">
        <f t="shared" si="17"/>
        <v>32866</v>
      </c>
      <c r="G324"/>
      <c r="H324"/>
      <c r="I324"/>
    </row>
    <row r="325" spans="1:9" x14ac:dyDescent="0.25">
      <c r="A325" s="27">
        <v>48700</v>
      </c>
      <c r="B325" s="25" t="s">
        <v>365</v>
      </c>
      <c r="C325" s="26">
        <v>0.71099999999999997</v>
      </c>
      <c r="D325" s="24">
        <f t="shared" si="15"/>
        <v>32285</v>
      </c>
      <c r="E325" s="23">
        <f t="shared" si="16"/>
        <v>27988</v>
      </c>
      <c r="F325" s="23">
        <f t="shared" si="17"/>
        <v>32683</v>
      </c>
      <c r="G325"/>
      <c r="H325"/>
      <c r="I325"/>
    </row>
    <row r="326" spans="1:9" x14ac:dyDescent="0.25">
      <c r="A326" s="27">
        <v>49001</v>
      </c>
      <c r="B326" s="25" t="s">
        <v>366</v>
      </c>
      <c r="C326" s="26">
        <v>0.72299999999999998</v>
      </c>
      <c r="D326" s="24">
        <f t="shared" si="15"/>
        <v>32477</v>
      </c>
      <c r="E326" s="23">
        <f t="shared" si="16"/>
        <v>28108</v>
      </c>
      <c r="F326" s="23">
        <f t="shared" si="17"/>
        <v>32883</v>
      </c>
      <c r="G326"/>
      <c r="H326"/>
      <c r="I326"/>
    </row>
    <row r="327" spans="1:9" x14ac:dyDescent="0.25">
      <c r="A327" s="27">
        <v>49002</v>
      </c>
      <c r="B327" s="25" t="s">
        <v>367</v>
      </c>
      <c r="C327" s="26">
        <v>0.66100000000000003</v>
      </c>
      <c r="D327" s="24">
        <f t="shared" si="15"/>
        <v>31484</v>
      </c>
      <c r="E327" s="23">
        <f t="shared" si="16"/>
        <v>27490</v>
      </c>
      <c r="F327" s="23">
        <f t="shared" si="17"/>
        <v>31853</v>
      </c>
      <c r="G327"/>
      <c r="H327"/>
      <c r="I327"/>
    </row>
    <row r="328" spans="1:9" x14ac:dyDescent="0.25">
      <c r="A328" s="27">
        <v>49020</v>
      </c>
      <c r="B328" s="25" t="s">
        <v>368</v>
      </c>
      <c r="C328" s="26">
        <v>0.99399999999999999</v>
      </c>
      <c r="D328" s="24">
        <f t="shared" si="15"/>
        <v>36819</v>
      </c>
      <c r="E328" s="23">
        <f t="shared" si="16"/>
        <v>30810</v>
      </c>
      <c r="F328" s="23">
        <f t="shared" si="17"/>
        <v>37382</v>
      </c>
      <c r="G328"/>
      <c r="H328"/>
      <c r="I328"/>
    </row>
    <row r="329" spans="1:9" x14ac:dyDescent="0.25">
      <c r="A329" s="27">
        <v>49180</v>
      </c>
      <c r="B329" s="25" t="s">
        <v>369</v>
      </c>
      <c r="C329" s="26">
        <v>0.69899999999999995</v>
      </c>
      <c r="D329" s="24">
        <f t="shared" si="15"/>
        <v>32093</v>
      </c>
      <c r="E329" s="23">
        <f t="shared" si="16"/>
        <v>27869</v>
      </c>
      <c r="F329" s="23">
        <f t="shared" si="17"/>
        <v>32484</v>
      </c>
      <c r="G329"/>
      <c r="H329"/>
      <c r="I329"/>
    </row>
    <row r="330" spans="1:9" x14ac:dyDescent="0.25">
      <c r="A330" s="27">
        <v>49340</v>
      </c>
      <c r="B330" s="25" t="s">
        <v>370</v>
      </c>
      <c r="C330" s="26">
        <v>1.034</v>
      </c>
      <c r="D330" s="24">
        <f t="shared" si="15"/>
        <v>37460</v>
      </c>
      <c r="E330" s="23">
        <f t="shared" si="16"/>
        <v>31209</v>
      </c>
      <c r="F330" s="23">
        <f t="shared" si="17"/>
        <v>38047</v>
      </c>
      <c r="G330"/>
      <c r="H330"/>
      <c r="I330"/>
    </row>
    <row r="331" spans="1:9" x14ac:dyDescent="0.25">
      <c r="A331" s="27">
        <v>49620</v>
      </c>
      <c r="B331" s="25" t="s">
        <v>371</v>
      </c>
      <c r="C331" s="26">
        <v>0.86699999999999999</v>
      </c>
      <c r="D331" s="24">
        <f t="shared" si="15"/>
        <v>34784</v>
      </c>
      <c r="E331" s="23">
        <f t="shared" si="16"/>
        <v>29544</v>
      </c>
      <c r="F331" s="23">
        <f t="shared" si="17"/>
        <v>35274</v>
      </c>
      <c r="G331"/>
      <c r="H331"/>
      <c r="I331"/>
    </row>
    <row r="332" spans="1:9" x14ac:dyDescent="0.25">
      <c r="A332" s="27">
        <v>49660</v>
      </c>
      <c r="B332" s="25" t="s">
        <v>372</v>
      </c>
      <c r="C332" s="26">
        <v>0.60099999999999998</v>
      </c>
      <c r="D332" s="24">
        <f t="shared" si="15"/>
        <v>30523</v>
      </c>
      <c r="E332" s="23">
        <f t="shared" si="16"/>
        <v>26892</v>
      </c>
      <c r="F332" s="23">
        <f t="shared" si="17"/>
        <v>30857</v>
      </c>
      <c r="G332"/>
      <c r="H332"/>
      <c r="I332"/>
    </row>
    <row r="333" spans="1:9" x14ac:dyDescent="0.25">
      <c r="A333" s="27">
        <v>49740</v>
      </c>
      <c r="B333" s="25" t="s">
        <v>373</v>
      </c>
      <c r="C333" s="26">
        <v>0.746</v>
      </c>
      <c r="D333" s="24">
        <f t="shared" si="15"/>
        <v>32846</v>
      </c>
      <c r="E333" s="23">
        <f t="shared" si="16"/>
        <v>28337</v>
      </c>
      <c r="F333" s="23">
        <f t="shared" si="17"/>
        <v>33264</v>
      </c>
      <c r="G333"/>
      <c r="H333"/>
      <c r="I333"/>
    </row>
    <row r="334" spans="1:9" x14ac:dyDescent="0.25">
      <c r="A334" s="27">
        <v>50002</v>
      </c>
      <c r="B334" s="25" t="s">
        <v>374</v>
      </c>
      <c r="C334" s="26">
        <v>0.87</v>
      </c>
      <c r="D334" s="24">
        <f t="shared" si="15"/>
        <v>34832</v>
      </c>
      <c r="E334" s="23">
        <f t="shared" si="16"/>
        <v>29574</v>
      </c>
      <c r="F334" s="23">
        <f t="shared" si="17"/>
        <v>35323</v>
      </c>
      <c r="G334"/>
      <c r="H334"/>
      <c r="I334"/>
    </row>
    <row r="335" spans="1:9" x14ac:dyDescent="0.25">
      <c r="A335" s="27">
        <v>51001</v>
      </c>
      <c r="B335" s="25" t="s">
        <v>375</v>
      </c>
      <c r="C335" s="26">
        <v>0.77100000000000002</v>
      </c>
      <c r="D335" s="24">
        <f t="shared" si="15"/>
        <v>33246</v>
      </c>
      <c r="E335" s="23">
        <f t="shared" si="16"/>
        <v>28587</v>
      </c>
      <c r="F335" s="23">
        <f t="shared" si="17"/>
        <v>33680</v>
      </c>
      <c r="G335"/>
      <c r="H335"/>
      <c r="I335"/>
    </row>
    <row r="336" spans="1:9" x14ac:dyDescent="0.25">
      <c r="A336" s="27">
        <v>51002</v>
      </c>
      <c r="B336" s="25" t="s">
        <v>376</v>
      </c>
      <c r="C336" s="26">
        <v>0.628</v>
      </c>
      <c r="D336" s="24">
        <f t="shared" si="15"/>
        <v>30955</v>
      </c>
      <c r="E336" s="23">
        <f t="shared" si="16"/>
        <v>27161</v>
      </c>
      <c r="F336" s="23">
        <f t="shared" si="17"/>
        <v>31305</v>
      </c>
      <c r="G336"/>
      <c r="H336"/>
      <c r="I336"/>
    </row>
    <row r="337" spans="1:9" x14ac:dyDescent="0.25">
      <c r="A337" s="27">
        <v>53001</v>
      </c>
      <c r="B337" s="25" t="s">
        <v>377</v>
      </c>
      <c r="C337" s="26">
        <v>0.85599999999999998</v>
      </c>
      <c r="D337" s="24">
        <f t="shared" si="15"/>
        <v>34608</v>
      </c>
      <c r="E337" s="23">
        <f t="shared" si="16"/>
        <v>29434</v>
      </c>
      <c r="F337" s="23">
        <f t="shared" si="17"/>
        <v>35091</v>
      </c>
      <c r="G337"/>
      <c r="H337"/>
      <c r="I337"/>
    </row>
    <row r="338" spans="1:9" x14ac:dyDescent="0.25">
      <c r="A338" s="27">
        <v>53002</v>
      </c>
      <c r="B338" s="25" t="s">
        <v>378</v>
      </c>
      <c r="C338" s="26">
        <v>0.71799999999999997</v>
      </c>
      <c r="D338" s="24">
        <f t="shared" si="15"/>
        <v>32397</v>
      </c>
      <c r="E338" s="23">
        <f t="shared" si="16"/>
        <v>28058</v>
      </c>
      <c r="F338" s="23">
        <f t="shared" si="17"/>
        <v>32800</v>
      </c>
      <c r="G338"/>
      <c r="H338"/>
      <c r="I338"/>
    </row>
    <row r="339" spans="1:9" x14ac:dyDescent="0.25">
      <c r="A339" s="27">
        <v>54001</v>
      </c>
      <c r="B339" s="25" t="s">
        <v>379</v>
      </c>
      <c r="C339" s="26">
        <v>0.62</v>
      </c>
      <c r="D339" s="24">
        <f t="shared" si="15"/>
        <v>30827</v>
      </c>
      <c r="E339" s="23">
        <f t="shared" si="16"/>
        <v>27081</v>
      </c>
      <c r="F339" s="23">
        <f t="shared" si="17"/>
        <v>31172</v>
      </c>
      <c r="G339"/>
      <c r="H339"/>
      <c r="I339"/>
    </row>
    <row r="340" spans="1:9" x14ac:dyDescent="0.25">
      <c r="A340" s="27">
        <v>54002</v>
      </c>
      <c r="B340" s="25" t="s">
        <v>380</v>
      </c>
      <c r="C340" s="26">
        <v>0.65600000000000003</v>
      </c>
      <c r="D340" s="24">
        <f t="shared" si="15"/>
        <v>31404</v>
      </c>
      <c r="E340" s="23">
        <f t="shared" si="16"/>
        <v>27440</v>
      </c>
      <c r="F340" s="23">
        <f t="shared" si="17"/>
        <v>31770</v>
      </c>
      <c r="G340"/>
      <c r="H340"/>
      <c r="I340"/>
    </row>
    <row r="341" spans="1:9" x14ac:dyDescent="0.25">
      <c r="A341" s="27">
        <v>55002</v>
      </c>
      <c r="B341" s="25" t="s">
        <v>381</v>
      </c>
      <c r="C341" s="26">
        <v>0.67700000000000005</v>
      </c>
      <c r="D341" s="24">
        <f t="shared" si="15"/>
        <v>31740</v>
      </c>
      <c r="E341" s="23">
        <f t="shared" si="16"/>
        <v>27649</v>
      </c>
      <c r="F341" s="23">
        <f t="shared" si="17"/>
        <v>32119</v>
      </c>
      <c r="G341"/>
      <c r="H341"/>
      <c r="I341"/>
    </row>
    <row r="342" spans="1:9" x14ac:dyDescent="0.25">
      <c r="A342" s="27">
        <v>56001</v>
      </c>
      <c r="B342" s="25" t="s">
        <v>382</v>
      </c>
      <c r="C342" s="26">
        <v>0.76500000000000001</v>
      </c>
      <c r="D342" s="24">
        <f t="shared" si="15"/>
        <v>33150</v>
      </c>
      <c r="E342" s="23">
        <f t="shared" si="16"/>
        <v>28527</v>
      </c>
      <c r="F342" s="23">
        <f t="shared" si="17"/>
        <v>33580</v>
      </c>
      <c r="G342"/>
      <c r="H342"/>
      <c r="I342"/>
    </row>
    <row r="343" spans="1:9" ht="15.75" thickBot="1" x14ac:dyDescent="0.3">
      <c r="A343" s="28">
        <v>56002</v>
      </c>
      <c r="B343" s="25" t="s">
        <v>383</v>
      </c>
      <c r="C343" s="26">
        <v>0.69199999999999995</v>
      </c>
      <c r="D343" s="24">
        <f t="shared" si="15"/>
        <v>31980</v>
      </c>
      <c r="E343" s="23">
        <f t="shared" si="16"/>
        <v>27799</v>
      </c>
      <c r="F343" s="23">
        <f t="shared" si="17"/>
        <v>32368</v>
      </c>
      <c r="G343"/>
      <c r="H343"/>
      <c r="I343"/>
    </row>
    <row r="344" spans="1:9" x14ac:dyDescent="0.25">
      <c r="A344" s="51" t="s">
        <v>390</v>
      </c>
      <c r="B344" s="51"/>
      <c r="C344" s="51"/>
      <c r="D344" s="51"/>
      <c r="E344" s="51"/>
      <c r="F344" s="51"/>
    </row>
    <row r="345" spans="1:9" ht="13.5" customHeight="1" x14ac:dyDescent="0.25">
      <c r="A345" s="51"/>
      <c r="B345" s="51"/>
      <c r="C345" s="51"/>
      <c r="D345" s="51"/>
      <c r="E345" s="51"/>
      <c r="F345" s="51"/>
    </row>
    <row r="346" spans="1:9" ht="14.45" customHeight="1" x14ac:dyDescent="0.25">
      <c r="A346" s="51"/>
      <c r="B346" s="51"/>
      <c r="C346" s="51"/>
      <c r="D346" s="51"/>
      <c r="E346" s="51"/>
      <c r="F346" s="51"/>
    </row>
    <row r="347" spans="1:9" ht="75" customHeight="1" x14ac:dyDescent="0.25">
      <c r="A347" s="51"/>
      <c r="B347" s="51"/>
      <c r="C347" s="51"/>
      <c r="D347" s="51"/>
      <c r="E347" s="51"/>
      <c r="F347" s="51"/>
    </row>
    <row r="348" spans="1:9" ht="20.100000000000001" hidden="1" customHeight="1" x14ac:dyDescent="0.25">
      <c r="A348" s="51"/>
      <c r="B348" s="51"/>
      <c r="C348" s="51"/>
      <c r="D348" s="51"/>
      <c r="E348" s="51"/>
      <c r="F348" s="51"/>
    </row>
    <row r="383" ht="90.75" customHeight="1" x14ac:dyDescent="0.25"/>
  </sheetData>
  <mergeCells count="2">
    <mergeCell ref="A1:B1"/>
    <mergeCell ref="A344:F348"/>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Matrix</vt:lpstr>
      <vt:lpstr>Thresholds 2023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renwi301</dc:creator>
  <cp:lastModifiedBy>Em Shrider (CENSUS/SEHSD FED)</cp:lastModifiedBy>
  <cp:lastPrinted>2013-11-06T18:22:02Z</cp:lastPrinted>
  <dcterms:created xsi:type="dcterms:W3CDTF">2012-04-30T18:44:07Z</dcterms:created>
  <dcterms:modified xsi:type="dcterms:W3CDTF">2024-09-03T18:33:25Z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